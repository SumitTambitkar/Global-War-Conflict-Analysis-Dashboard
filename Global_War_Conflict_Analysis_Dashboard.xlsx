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umit tambitkar\Desktop\sumit portfolio\"/>
    </mc:Choice>
  </mc:AlternateContent>
  <xr:revisionPtr revIDLastSave="0" documentId="13_ncr:1_{A013B4CA-DEDD-41B7-AC14-C3AB0850A696}" xr6:coauthVersionLast="47" xr6:coauthVersionMax="47" xr10:uidLastSave="{00000000-0000-0000-0000-000000000000}"/>
  <bookViews>
    <workbookView xWindow="6900" yWindow="3750" windowWidth="21600" windowHeight="11295" firstSheet="7" activeTab="10" xr2:uid="{1C3EC54E-7931-49CD-BFE6-3198304E2B2D}"/>
  </bookViews>
  <sheets>
    <sheet name="Global_War_Conflict_dataset" sheetId="2" r:id="rId1"/>
    <sheet name="Dashboard" sheetId="1" r:id="rId2"/>
    <sheet name="maximum and minimum dath 1" sheetId="5" r:id="rId3"/>
    <sheet name="civilian death in war" sheetId="6" r:id="rId4"/>
    <sheet name="displaced" sheetId="7" r:id="rId5"/>
    <sheet name="refugees" sheetId="9" r:id="rId6"/>
    <sheet name=" famine_disease_deaths" sheetId="10" r:id="rId7"/>
    <sheet name="wounded and death" sheetId="12" r:id="rId8"/>
    <sheet name="men_women_chidren" sheetId="13" r:id="rId9"/>
    <sheet name="journalist " sheetId="14" r:id="rId10"/>
    <sheet name="missing_persons" sheetId="16" r:id="rId11"/>
  </sheets>
  <definedNames>
    <definedName name="ExternalData_1" localSheetId="0" hidden="1">Global_War_Conflict_dataset!$A$1:$W$28</definedName>
    <definedName name="Slicer_conflict_id">#N/A</definedName>
    <definedName name="Slicer_conflict_name">#N/A</definedName>
    <definedName name="Slicer_reliability_scor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9" i="2" l="1"/>
  <c r="P29" i="2"/>
  <c r="R29" i="2"/>
  <c r="B29" i="2"/>
  <c r="O29" i="2"/>
  <c r="L29" i="2"/>
  <c r="G29" i="2"/>
  <c r="R2" i="2"/>
  <c r="R3" i="2"/>
  <c r="R4" i="2"/>
  <c r="R5" i="2"/>
  <c r="R6" i="2"/>
  <c r="R7" i="2"/>
  <c r="R8" i="2"/>
  <c r="R9" i="2"/>
  <c r="R10" i="2"/>
  <c r="R11" i="2"/>
  <c r="R12" i="2"/>
  <c r="R13" i="2"/>
  <c r="R14" i="2"/>
  <c r="R15" i="2"/>
  <c r="R16" i="2"/>
  <c r="R17" i="2"/>
  <c r="R18" i="2"/>
  <c r="R19" i="2"/>
  <c r="R20" i="2"/>
  <c r="R21" i="2"/>
  <c r="R22" i="2"/>
  <c r="R23" i="2"/>
  <c r="R24" i="2"/>
  <c r="R25" i="2"/>
  <c r="R26" i="2"/>
  <c r="R27" i="2"/>
  <c r="R2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C835DC-1248-4F93-A4FC-22E114451649}" keepAlive="1" name="Query - 02_Casualties_Detail - 02_Casualties_Detail" description="Connection to the '02_Casualties_Detail - 02_Casualties_Detail' query in the workbook." type="5" refreshedVersion="8" background="1" saveData="1">
    <dbPr connection="Provider=Microsoft.Mashup.OleDb.1;Data Source=$Workbook$;Location=&quot;02_Casualties_Detail - 02_Casualties_Detail&quot;;Extended Properties=&quot;&quot;" command="SELECT * FROM [02_Casualties_Detail - 02_Casualties_Detail]"/>
  </connection>
</connections>
</file>

<file path=xl/sharedStrings.xml><?xml version="1.0" encoding="utf-8"?>
<sst xmlns="http://schemas.openxmlformats.org/spreadsheetml/2006/main" count="208" uniqueCount="129">
  <si>
    <t>conflict_id</t>
  </si>
  <si>
    <t>conflict_name</t>
  </si>
  <si>
    <t>total_dead_est_low</t>
  </si>
  <si>
    <t>total_dead_est_high</t>
  </si>
  <si>
    <t>military_killed_side_A</t>
  </si>
  <si>
    <t>military_killed_side_B</t>
  </si>
  <si>
    <t>civilian_killed_est</t>
  </si>
  <si>
    <t>civ_men_pct</t>
  </si>
  <si>
    <t>civ_women_pct</t>
  </si>
  <si>
    <t>civ_children_pct</t>
  </si>
  <si>
    <t>civ_children_abs_est</t>
  </si>
  <si>
    <t>wounded_total_est</t>
  </si>
  <si>
    <t>pows_taken</t>
  </si>
  <si>
    <t>missing_persons</t>
  </si>
  <si>
    <t>displaced_persons</t>
  </si>
  <si>
    <t>refugees_abroad</t>
  </si>
  <si>
    <t>total_affected_pop</t>
  </si>
  <si>
    <t>famine_disease_deaths_indirect</t>
  </si>
  <si>
    <t>journalists_killed</t>
  </si>
  <si>
    <t>aid_workers_killed</t>
  </si>
  <si>
    <t>data_source</t>
  </si>
  <si>
    <t>reliability_score</t>
  </si>
  <si>
    <t>C01</t>
  </si>
  <si>
    <t>1948 Arab-Israeli War</t>
  </si>
  <si>
    <t>Benny Morris; Israeli MoD; UNRWA</t>
  </si>
  <si>
    <t>C02</t>
  </si>
  <si>
    <t>Suez Crisis</t>
  </si>
  <si>
    <t>SIPRI; Britannica</t>
  </si>
  <si>
    <t>C03</t>
  </si>
  <si>
    <t>Six-Day War</t>
  </si>
  <si>
    <t>CFR; Wikipedia; IDF</t>
  </si>
  <si>
    <t>C04</t>
  </si>
  <si>
    <t>War of Attrition</t>
  </si>
  <si>
    <t>—</t>
  </si>
  <si>
    <t>IISS</t>
  </si>
  <si>
    <t>C05</t>
  </si>
  <si>
    <t>Black September</t>
  </si>
  <si>
    <t>Amnesty; PLO sources</t>
  </si>
  <si>
    <t>C06</t>
  </si>
  <si>
    <t>Yom Kippur War</t>
  </si>
  <si>
    <t>IDF; Egyptian MoD; Britannica</t>
  </si>
  <si>
    <t>C07</t>
  </si>
  <si>
    <t>Lebanese Civil War</t>
  </si>
  <si>
    <t>Fisk; ICRC; Lebanese govt</t>
  </si>
  <si>
    <t>C08</t>
  </si>
  <si>
    <t>Op. Litani 1978</t>
  </si>
  <si>
    <t>UN; ICRC</t>
  </si>
  <si>
    <t>C09</t>
  </si>
  <si>
    <t>Iran-Iraq War</t>
  </si>
  <si>
    <t>Kurzman; Britannica; CorrelatesOfWar</t>
  </si>
  <si>
    <t>C10</t>
  </si>
  <si>
    <t>Israeli Invasion Lebanon 1982</t>
  </si>
  <si>
    <t>Amnesty; IDF; Lebanese govt</t>
  </si>
  <si>
    <t>C11</t>
  </si>
  <si>
    <t>Gulf War 1991</t>
  </si>
  <si>
    <t>CENTCOM; SIPRI</t>
  </si>
  <si>
    <t>C12</t>
  </si>
  <si>
    <t>Iraqi No-Fly Zones</t>
  </si>
  <si>
    <t>GlobalSecurity</t>
  </si>
  <si>
    <t>C13</t>
  </si>
  <si>
    <t>1st Intifada</t>
  </si>
  <si>
    <t>B'Tselem; IDF</t>
  </si>
  <si>
    <t>C14</t>
  </si>
  <si>
    <t>2nd Intifada</t>
  </si>
  <si>
    <t>B'Tselem; IDF; OCHA</t>
  </si>
  <si>
    <t>C15</t>
  </si>
  <si>
    <t>Iraq Body Count; Lancet; UNHCR</t>
  </si>
  <si>
    <t>C16</t>
  </si>
  <si>
    <t>Iraqi Insurgency AQI</t>
  </si>
  <si>
    <t>SIGACT; IraqBodyCount</t>
  </si>
  <si>
    <t>C17</t>
  </si>
  <si>
    <t>2006 Lebanon War</t>
  </si>
  <si>
    <t>OCHA; IDF; HRW</t>
  </si>
  <si>
    <t>C18</t>
  </si>
  <si>
    <t>Gaza Cast Lead</t>
  </si>
  <si>
    <t>B'Tselem; IDF; UN</t>
  </si>
  <si>
    <t>C19</t>
  </si>
  <si>
    <t>Gaza Pillar of Defense</t>
  </si>
  <si>
    <t>IDF; OCHA</t>
  </si>
  <si>
    <t>C20</t>
  </si>
  <si>
    <t>Gaza Protective Edge</t>
  </si>
  <si>
    <t>B'Tselem; UN; IDF</t>
  </si>
  <si>
    <t>C21</t>
  </si>
  <si>
    <t>Syrian Civil War</t>
  </si>
  <si>
    <t>SNHR; OHCHR; SOHR</t>
  </si>
  <si>
    <t>C22</t>
  </si>
  <si>
    <t>ISIS War OIR</t>
  </si>
  <si>
    <t>CJTF-OIR; Airwars; ACLED</t>
  </si>
  <si>
    <t>C23</t>
  </si>
  <si>
    <t>Yemen Civil War</t>
  </si>
  <si>
    <t>ACLED; OCHA; WHO</t>
  </si>
  <si>
    <t>C24</t>
  </si>
  <si>
    <t>Gaza War Al-Aqsa Flood</t>
  </si>
  <si>
    <t>GHM; IDF; OHCHR; Wikipedia</t>
  </si>
  <si>
    <t>C25</t>
  </si>
  <si>
    <t>Israel-Lebanon War 2024</t>
  </si>
  <si>
    <t>Lebanese DDRM; IDF; Reuters</t>
  </si>
  <si>
    <t>C26</t>
  </si>
  <si>
    <t>Twelve-Day War 2025</t>
  </si>
  <si>
    <t>Wikipedia IT; Al Jazeera; IDF</t>
  </si>
  <si>
    <t>C27</t>
  </si>
  <si>
    <t>Iran War Op. Epic Fury (Mar 2026)</t>
  </si>
  <si>
    <t>Al Jazeera live tracker; SCMP; Canberra Times</t>
  </si>
  <si>
    <t>10M</t>
  </si>
  <si>
    <t>2M</t>
  </si>
  <si>
    <t>15M</t>
  </si>
  <si>
    <t>1.5M</t>
  </si>
  <si>
    <t>20M</t>
  </si>
  <si>
    <t>23M</t>
  </si>
  <si>
    <t>2.3M</t>
  </si>
  <si>
    <t>5M</t>
  </si>
  <si>
    <t>Row Labels</t>
  </si>
  <si>
    <t>Sum of displaced_persons</t>
  </si>
  <si>
    <t>Low Estimate</t>
  </si>
  <si>
    <t>High Estimate</t>
  </si>
  <si>
    <t xml:space="preserve">Iraq War OIF </t>
  </si>
  <si>
    <t>Sum of civilian_killed_est</t>
  </si>
  <si>
    <t>Sum of refugees_abroad</t>
  </si>
  <si>
    <t>Sum of famine_disease_deaths_indirect</t>
  </si>
  <si>
    <t>Total Wounded</t>
  </si>
  <si>
    <t>Total Death</t>
  </si>
  <si>
    <t>Men</t>
  </si>
  <si>
    <t>Women</t>
  </si>
  <si>
    <t>Children</t>
  </si>
  <si>
    <t>Journalists</t>
  </si>
  <si>
    <t>Aid Workers</t>
  </si>
  <si>
    <t>Total pows_taken</t>
  </si>
  <si>
    <t>Total missing_persons</t>
  </si>
  <si>
    <t>total_affected_pop2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</si>
</sst>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cellXfs>
  <cellStyles count="1">
    <cellStyle name="Normal" xfId="0" builtinId="0"/>
  </cellStyles>
  <dxfs count="20">
    <dxf>
      <numFmt numFmtId="0" formatCode="General"/>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3" formatCode="0%"/>
    </dxf>
    <dxf>
      <numFmt numFmtId="1" formatCode="0"/>
    </dxf>
  </dxfs>
  <tableStyles count="0" defaultTableStyle="TableStyleMedium2" defaultPivotStyle="PivotStyleLight16"/>
  <colors>
    <mruColors>
      <color rgb="FF000099"/>
      <color rgb="FF0000CC"/>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[war.xlsx]maximum and minimum dath 1!PivotTable3</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Maximum and Minimum Death Estimate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dLbl>
          <c:idx val="0"/>
          <c:layout>
            <c:manualLayout>
              <c:x val="0"/>
              <c:y val="-4.629629629629629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55000"/>
            </a:schemeClr>
          </a:solidFill>
          <a:ln>
            <a:noFill/>
          </a:ln>
          <a:effectLst/>
        </c:spPr>
        <c:dLbl>
          <c:idx val="0"/>
          <c:layout>
            <c:manualLayout>
              <c:x val="0"/>
              <c:y val="-4.629629629629629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55000"/>
            </a:schemeClr>
          </a:solidFill>
          <a:ln>
            <a:noFill/>
          </a:ln>
          <a:effectLst/>
        </c:spPr>
        <c:dLbl>
          <c:idx val="0"/>
          <c:layout>
            <c:manualLayout>
              <c:x val="0"/>
              <c:y val="-4.6296296296296294E-3"/>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67935258092736"/>
          <c:y val="0.25187554680664914"/>
          <c:w val="0.67768965339417853"/>
          <c:h val="0.69719852726742493"/>
        </c:manualLayout>
      </c:layout>
      <c:barChart>
        <c:barDir val="bar"/>
        <c:grouping val="clustered"/>
        <c:varyColors val="0"/>
        <c:ser>
          <c:idx val="0"/>
          <c:order val="0"/>
          <c:tx>
            <c:strRef>
              <c:f>'maximum and minimum dath 1'!$B$3</c:f>
              <c:strCache>
                <c:ptCount val="1"/>
                <c:pt idx="0">
                  <c:v>Low Estimate</c:v>
                </c:pt>
              </c:strCache>
            </c:strRef>
          </c:tx>
          <c:spPr>
            <a:solidFill>
              <a:schemeClr val="dk1">
                <a:tint val="885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'maximum and minimum dath 1'!$A$4:$A$9</c:f>
              <c:strCache>
                <c:ptCount val="6"/>
                <c:pt idx="0">
                  <c:v>Gaza War Al-Aqsa Flood</c:v>
                </c:pt>
                <c:pt idx="1">
                  <c:v>Lebanese Civil War</c:v>
                </c:pt>
                <c:pt idx="2">
                  <c:v>Iraq War OIF </c:v>
                </c:pt>
                <c:pt idx="3">
                  <c:v>Yemen Civil War</c:v>
                </c:pt>
                <c:pt idx="4">
                  <c:v>Syrian Civil War</c:v>
                </c:pt>
                <c:pt idx="5">
                  <c:v>Iran-Iraq War</c:v>
                </c:pt>
              </c:strCache>
            </c:strRef>
          </c:cat>
          <c:val>
            <c:numRef>
              <c:f>'maximum and minimum dath 1'!$B$4:$B$9</c:f>
              <c:numCache>
                <c:formatCode>General</c:formatCode>
                <c:ptCount val="6"/>
                <c:pt idx="0">
                  <c:v>70000</c:v>
                </c:pt>
                <c:pt idx="1">
                  <c:v>100000</c:v>
                </c:pt>
                <c:pt idx="2">
                  <c:v>150000</c:v>
                </c:pt>
                <c:pt idx="3">
                  <c:v>150000</c:v>
                </c:pt>
                <c:pt idx="4">
                  <c:v>350000</c:v>
                </c:pt>
                <c:pt idx="5">
                  <c:v>500000</c:v>
                </c:pt>
              </c:numCache>
            </c:numRef>
          </c:val>
          <c:extLst>
            <c:ext xmlns:c16="http://schemas.microsoft.com/office/drawing/2014/chart" uri="{C3380CC4-5D6E-409C-BE32-E72D297353CC}">
              <c16:uniqueId val="{00000000-2257-4954-A26D-DF84784CB96F}"/>
            </c:ext>
          </c:extLst>
        </c:ser>
        <c:ser>
          <c:idx val="1"/>
          <c:order val="1"/>
          <c:tx>
            <c:strRef>
              <c:f>'maximum and minimum dath 1'!$C$3</c:f>
              <c:strCache>
                <c:ptCount val="1"/>
                <c:pt idx="0">
                  <c:v>High Estimate</c:v>
                </c:pt>
              </c:strCache>
            </c:strRef>
          </c:tx>
          <c:spPr>
            <a:solidFill>
              <a:schemeClr val="dk1">
                <a:tint val="55000"/>
              </a:schemeClr>
            </a:solidFill>
            <a:ln>
              <a:noFill/>
            </a:ln>
            <a:effectLst/>
          </c:spPr>
          <c:invertIfNegative val="0"/>
          <c:dPt>
            <c:idx val="0"/>
            <c:invertIfNegative val="0"/>
            <c:bubble3D val="0"/>
            <c:spPr>
              <a:solidFill>
                <a:schemeClr val="dk1">
                  <a:tint val="55000"/>
                </a:schemeClr>
              </a:solidFill>
              <a:ln>
                <a:noFill/>
              </a:ln>
              <a:effectLst/>
            </c:spPr>
            <c:extLst>
              <c:ext xmlns:c16="http://schemas.microsoft.com/office/drawing/2014/chart" uri="{C3380CC4-5D6E-409C-BE32-E72D297353CC}">
                <c16:uniqueId val="{00000002-2257-4954-A26D-DF84784CB96F}"/>
              </c:ext>
            </c:extLst>
          </c:dPt>
          <c:dLbls>
            <c:dLbl>
              <c:idx val="0"/>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57-4954-A26D-DF84784CB96F}"/>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'maximum and minimum dath 1'!$A$4:$A$9</c:f>
              <c:strCache>
                <c:ptCount val="6"/>
                <c:pt idx="0">
                  <c:v>Gaza War Al-Aqsa Flood</c:v>
                </c:pt>
                <c:pt idx="1">
                  <c:v>Lebanese Civil War</c:v>
                </c:pt>
                <c:pt idx="2">
                  <c:v>Iraq War OIF </c:v>
                </c:pt>
                <c:pt idx="3">
                  <c:v>Yemen Civil War</c:v>
                </c:pt>
                <c:pt idx="4">
                  <c:v>Syrian Civil War</c:v>
                </c:pt>
                <c:pt idx="5">
                  <c:v>Iran-Iraq War</c:v>
                </c:pt>
              </c:strCache>
            </c:strRef>
          </c:cat>
          <c:val>
            <c:numRef>
              <c:f>'maximum and minimum dath 1'!$C$4:$C$9</c:f>
              <c:numCache>
                <c:formatCode>General</c:formatCode>
                <c:ptCount val="6"/>
                <c:pt idx="0">
                  <c:v>80000</c:v>
                </c:pt>
                <c:pt idx="1">
                  <c:v>170000</c:v>
                </c:pt>
                <c:pt idx="2">
                  <c:v>300000</c:v>
                </c:pt>
                <c:pt idx="3">
                  <c:v>377000</c:v>
                </c:pt>
                <c:pt idx="4">
                  <c:v>500000</c:v>
                </c:pt>
                <c:pt idx="5">
                  <c:v>1000000</c:v>
                </c:pt>
              </c:numCache>
            </c:numRef>
          </c:val>
          <c:extLst>
            <c:ext xmlns:c16="http://schemas.microsoft.com/office/drawing/2014/chart" uri="{C3380CC4-5D6E-409C-BE32-E72D297353CC}">
              <c16:uniqueId val="{00000003-2257-4954-A26D-DF84784CB96F}"/>
            </c:ext>
          </c:extLst>
        </c:ser>
        <c:dLbls>
          <c:dLblPos val="outEnd"/>
          <c:showLegendKey val="0"/>
          <c:showVal val="1"/>
          <c:showCatName val="0"/>
          <c:showSerName val="0"/>
          <c:showPercent val="0"/>
          <c:showBubbleSize val="0"/>
        </c:dLbls>
        <c:gapWidth val="182"/>
        <c:axId val="483545808"/>
        <c:axId val="373847952"/>
      </c:barChart>
      <c:catAx>
        <c:axId val="48354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3847952"/>
        <c:crosses val="autoZero"/>
        <c:auto val="1"/>
        <c:lblAlgn val="ctr"/>
        <c:lblOffset val="100"/>
        <c:noMultiLvlLbl val="0"/>
      </c:catAx>
      <c:valAx>
        <c:axId val="373847952"/>
        <c:scaling>
          <c:orientation val="minMax"/>
        </c:scaling>
        <c:delete val="1"/>
        <c:axPos val="b"/>
        <c:numFmt formatCode="General" sourceLinked="1"/>
        <c:majorTickMark val="none"/>
        <c:minorTickMark val="none"/>
        <c:tickLblPos val="nextTo"/>
        <c:crossAx val="4835458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[war.xlsx]civilian death in war!PivotTable4</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Civilian Death in War</a:t>
            </a:r>
          </a:p>
        </c:rich>
      </c:tx>
      <c:layout>
        <c:manualLayout>
          <c:xMode val="edge"/>
          <c:yMode val="edge"/>
          <c:x val="0.31037490141527302"/>
          <c:y val="2.77777890269795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s>
    <c:plotArea>
      <c:layout>
        <c:manualLayout>
          <c:layoutTarget val="inner"/>
          <c:xMode val="edge"/>
          <c:yMode val="edge"/>
          <c:x val="1.5271783343372932E-3"/>
          <c:y val="2.6678292041788176E-2"/>
          <c:w val="0.93888888888888888"/>
          <c:h val="0.77736111111111106"/>
        </c:manualLayout>
      </c:layout>
      <c:barChart>
        <c:barDir val="col"/>
        <c:grouping val="clustered"/>
        <c:varyColors val="0"/>
        <c:ser>
          <c:idx val="0"/>
          <c:order val="0"/>
          <c:tx>
            <c:strRef>
              <c:f>'civilian death in war'!$B$3</c:f>
              <c:strCache>
                <c:ptCount val="1"/>
                <c:pt idx="0">
                  <c:v>Total</c:v>
                </c:pt>
              </c:strCache>
            </c:strRef>
          </c:tx>
          <c:spPr>
            <a:solidFill>
              <a:schemeClr val="dk1">
                <a:tint val="88500"/>
              </a:schemeClr>
            </a:solidFill>
            <a:ln>
              <a:noFill/>
            </a:ln>
            <a:effectLst/>
          </c:spPr>
          <c:invertIfNegative val="0"/>
          <c:dPt>
            <c:idx val="3"/>
            <c:invertIfNegative val="0"/>
            <c:bubble3D val="0"/>
            <c:spPr>
              <a:solidFill>
                <a:schemeClr val="dk1">
                  <a:tint val="88500"/>
                </a:schemeClr>
              </a:solidFill>
              <a:ln>
                <a:noFill/>
              </a:ln>
              <a:effectLst/>
            </c:spPr>
            <c:extLst>
              <c:ext xmlns:c16="http://schemas.microsoft.com/office/drawing/2014/chart" uri="{C3380CC4-5D6E-409C-BE32-E72D297353CC}">
                <c16:uniqueId val="{00000001-328E-4194-B421-07DEFF929A20}"/>
              </c:ext>
            </c:extLst>
          </c:dPt>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'civilian death in war'!$A$4:$A$9</c:f>
              <c:strCache>
                <c:ptCount val="6"/>
                <c:pt idx="0">
                  <c:v>Syrian Civil War</c:v>
                </c:pt>
                <c:pt idx="1">
                  <c:v>Iraq War OIF </c:v>
                </c:pt>
                <c:pt idx="2">
                  <c:v>Iran-Iraq War</c:v>
                </c:pt>
                <c:pt idx="3">
                  <c:v>Yemen Civil War</c:v>
                </c:pt>
                <c:pt idx="4">
                  <c:v>Lebanese Civil War</c:v>
                </c:pt>
                <c:pt idx="5">
                  <c:v>Gaza War Al-Aqsa Flood</c:v>
                </c:pt>
              </c:strCache>
            </c:strRef>
          </c:cat>
          <c:val>
            <c:numRef>
              <c:f>'civilian death in war'!$B$4:$B$9</c:f>
              <c:numCache>
                <c:formatCode>General</c:formatCode>
                <c:ptCount val="6"/>
                <c:pt idx="0">
                  <c:v>250000</c:v>
                </c:pt>
                <c:pt idx="1">
                  <c:v>200000</c:v>
                </c:pt>
                <c:pt idx="2">
                  <c:v>100000</c:v>
                </c:pt>
                <c:pt idx="3">
                  <c:v>100000</c:v>
                </c:pt>
                <c:pt idx="4">
                  <c:v>100000</c:v>
                </c:pt>
                <c:pt idx="5">
                  <c:v>58000</c:v>
                </c:pt>
              </c:numCache>
            </c:numRef>
          </c:val>
          <c:extLst>
            <c:ext xmlns:c16="http://schemas.microsoft.com/office/drawing/2014/chart" uri="{C3380CC4-5D6E-409C-BE32-E72D297353CC}">
              <c16:uniqueId val="{00000002-328E-4194-B421-07DEFF929A20}"/>
            </c:ext>
          </c:extLst>
        </c:ser>
        <c:dLbls>
          <c:dLblPos val="outEnd"/>
          <c:showLegendKey val="0"/>
          <c:showVal val="1"/>
          <c:showCatName val="0"/>
          <c:showSerName val="0"/>
          <c:showPercent val="0"/>
          <c:showBubbleSize val="0"/>
        </c:dLbls>
        <c:gapWidth val="219"/>
        <c:overlap val="-27"/>
        <c:axId val="483537920"/>
        <c:axId val="1554431536"/>
      </c:barChart>
      <c:catAx>
        <c:axId val="483537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4431536"/>
        <c:crosses val="autoZero"/>
        <c:auto val="1"/>
        <c:lblAlgn val="ctr"/>
        <c:lblOffset val="100"/>
        <c:noMultiLvlLbl val="0"/>
      </c:catAx>
      <c:valAx>
        <c:axId val="1554431536"/>
        <c:scaling>
          <c:orientation val="minMax"/>
        </c:scaling>
        <c:delete val="1"/>
        <c:axPos val="l"/>
        <c:numFmt formatCode="General" sourceLinked="1"/>
        <c:majorTickMark val="out"/>
        <c:minorTickMark val="none"/>
        <c:tickLblPos val="nextTo"/>
        <c:crossAx val="48353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[war.xlsx]displaced!PivotTable5</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6 Displaced Population by Conflict</a:t>
            </a:r>
            <a:endParaRPr lang="en-US"/>
          </a:p>
        </c:rich>
      </c:tx>
      <c:layout>
        <c:manualLayout>
          <c:xMode val="edge"/>
          <c:yMode val="edge"/>
          <c:x val="0.17147388182420595"/>
          <c:y val="3.0015078440980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dLbl>
          <c:idx val="0"/>
          <c:layout>
            <c:manualLayout>
              <c:x val="-1.8053295467797922E-16"/>
              <c:y val="-6.481481481481483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dLbl>
          <c:idx val="0"/>
          <c:layout>
            <c:manualLayout>
              <c:x val="-1.8053295467797922E-16"/>
              <c:y val="-6.481481481481483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dLbl>
          <c:idx val="0"/>
          <c:layout>
            <c:manualLayout>
              <c:x val="-1.8053295467797922E-16"/>
              <c:y val="-6.4814814814814839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35709874541738"/>
          <c:y val="0.16553315760200796"/>
          <c:w val="0.74702810323664515"/>
          <c:h val="0.75942914629554059"/>
        </c:manualLayout>
      </c:layout>
      <c:barChart>
        <c:barDir val="bar"/>
        <c:grouping val="clustered"/>
        <c:varyColors val="0"/>
        <c:ser>
          <c:idx val="0"/>
          <c:order val="0"/>
          <c:tx>
            <c:strRef>
              <c:f>displaced!$B$3</c:f>
              <c:strCache>
                <c:ptCount val="1"/>
                <c:pt idx="0">
                  <c:v>Total</c:v>
                </c:pt>
              </c:strCache>
            </c:strRef>
          </c:tx>
          <c:spPr>
            <a:solidFill>
              <a:schemeClr val="dk1">
                <a:tint val="88500"/>
              </a:schemeClr>
            </a:solidFill>
            <a:ln>
              <a:noFill/>
            </a:ln>
            <a:effectLst/>
          </c:spPr>
          <c:invertIfNegative val="0"/>
          <c:dPt>
            <c:idx val="5"/>
            <c:invertIfNegative val="0"/>
            <c:bubble3D val="0"/>
            <c:spPr>
              <a:solidFill>
                <a:schemeClr val="dk1">
                  <a:tint val="88500"/>
                </a:schemeClr>
              </a:solidFill>
              <a:ln>
                <a:noFill/>
              </a:ln>
              <a:effectLst/>
            </c:spPr>
            <c:extLst>
              <c:ext xmlns:c16="http://schemas.microsoft.com/office/drawing/2014/chart" uri="{C3380CC4-5D6E-409C-BE32-E72D297353CC}">
                <c16:uniqueId val="{00000000-6A22-4E1E-9378-B6F2514F4982}"/>
              </c:ext>
            </c:extLst>
          </c:dPt>
          <c:dLbls>
            <c:dLbl>
              <c:idx val="5"/>
              <c:layout>
                <c:manualLayout>
                  <c:x val="-1.8053295467797922E-16"/>
                  <c:y val="-6.48148148148148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22-4E1E-9378-B6F2514F4982}"/>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displaced!$A$4:$A$9</c:f>
              <c:strCache>
                <c:ptCount val="6"/>
                <c:pt idx="0">
                  <c:v>Lebanese Civil War</c:v>
                </c:pt>
                <c:pt idx="1">
                  <c:v>Gaza War Al-Aqsa Flood</c:v>
                </c:pt>
                <c:pt idx="2">
                  <c:v>Iran-Iraq War</c:v>
                </c:pt>
                <c:pt idx="3">
                  <c:v>Iraq War OIF </c:v>
                </c:pt>
                <c:pt idx="4">
                  <c:v>Yemen Civil War</c:v>
                </c:pt>
                <c:pt idx="5">
                  <c:v>Syrian Civil War</c:v>
                </c:pt>
              </c:strCache>
            </c:strRef>
          </c:cat>
          <c:val>
            <c:numRef>
              <c:f>displaced!$B$4:$B$9</c:f>
              <c:numCache>
                <c:formatCode>General</c:formatCode>
                <c:ptCount val="6"/>
                <c:pt idx="0">
                  <c:v>1000000</c:v>
                </c:pt>
                <c:pt idx="1">
                  <c:v>2000000</c:v>
                </c:pt>
                <c:pt idx="2">
                  <c:v>4000000</c:v>
                </c:pt>
                <c:pt idx="3">
                  <c:v>4500000</c:v>
                </c:pt>
                <c:pt idx="4">
                  <c:v>4500000</c:v>
                </c:pt>
                <c:pt idx="5">
                  <c:v>13000000</c:v>
                </c:pt>
              </c:numCache>
            </c:numRef>
          </c:val>
          <c:extLst>
            <c:ext xmlns:c16="http://schemas.microsoft.com/office/drawing/2014/chart" uri="{C3380CC4-5D6E-409C-BE32-E72D297353CC}">
              <c16:uniqueId val="{00000001-6A22-4E1E-9378-B6F2514F4982}"/>
            </c:ext>
          </c:extLst>
        </c:ser>
        <c:dLbls>
          <c:dLblPos val="outEnd"/>
          <c:showLegendKey val="0"/>
          <c:showVal val="1"/>
          <c:showCatName val="0"/>
          <c:showSerName val="0"/>
          <c:showPercent val="0"/>
          <c:showBubbleSize val="0"/>
        </c:dLbls>
        <c:gapWidth val="182"/>
        <c:axId val="483533744"/>
        <c:axId val="1554435376"/>
      </c:barChart>
      <c:catAx>
        <c:axId val="483533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4435376"/>
        <c:crosses val="autoZero"/>
        <c:auto val="1"/>
        <c:lblAlgn val="ctr"/>
        <c:lblOffset val="100"/>
        <c:noMultiLvlLbl val="0"/>
      </c:catAx>
      <c:valAx>
        <c:axId val="1554435376"/>
        <c:scaling>
          <c:orientation val="minMax"/>
        </c:scaling>
        <c:delete val="1"/>
        <c:axPos val="b"/>
        <c:numFmt formatCode="General" sourceLinked="1"/>
        <c:majorTickMark val="out"/>
        <c:minorTickMark val="none"/>
        <c:tickLblPos val="nextTo"/>
        <c:crossAx val="48353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[war.xlsx]refugees!PivotTable2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Refugees by Conflict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pivotFmt>
      <c:pivotFmt>
        <c:idx val="3"/>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15782407407407409"/>
          <c:w val="0.93888888888888888"/>
          <c:h val="0.67003098571011954"/>
        </c:manualLayout>
      </c:layout>
      <c:barChart>
        <c:barDir val="col"/>
        <c:grouping val="clustered"/>
        <c:varyColors val="0"/>
        <c:ser>
          <c:idx val="0"/>
          <c:order val="0"/>
          <c:tx>
            <c:strRef>
              <c:f>refugees!$B$3</c:f>
              <c:strCache>
                <c:ptCount val="1"/>
                <c:pt idx="0">
                  <c:v>Total</c:v>
                </c:pt>
              </c:strCache>
            </c:strRef>
          </c:tx>
          <c:spPr>
            <a:solidFill>
              <a:schemeClr val="dk1">
                <a:tint val="885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refugees!$A$4:$A$9</c:f>
              <c:strCache>
                <c:ptCount val="6"/>
                <c:pt idx="0">
                  <c:v>Syrian Civil War</c:v>
                </c:pt>
                <c:pt idx="1">
                  <c:v>Iran-Iraq War</c:v>
                </c:pt>
                <c:pt idx="2">
                  <c:v>Iraq War OIF </c:v>
                </c:pt>
                <c:pt idx="3">
                  <c:v>Lebanese Civil War</c:v>
                </c:pt>
                <c:pt idx="4">
                  <c:v>Yemen Civil War</c:v>
                </c:pt>
                <c:pt idx="5">
                  <c:v>Gaza War Al-Aqsa Flood</c:v>
                </c:pt>
              </c:strCache>
            </c:strRef>
          </c:cat>
          <c:val>
            <c:numRef>
              <c:f>refugees!$B$4:$B$9</c:f>
              <c:numCache>
                <c:formatCode>General</c:formatCode>
                <c:ptCount val="6"/>
                <c:pt idx="0">
                  <c:v>6600000</c:v>
                </c:pt>
                <c:pt idx="1">
                  <c:v>2500000</c:v>
                </c:pt>
                <c:pt idx="2">
                  <c:v>2000000</c:v>
                </c:pt>
                <c:pt idx="3">
                  <c:v>500000</c:v>
                </c:pt>
                <c:pt idx="4">
                  <c:v>200000</c:v>
                </c:pt>
                <c:pt idx="5">
                  <c:v>100000</c:v>
                </c:pt>
              </c:numCache>
            </c:numRef>
          </c:val>
          <c:extLst>
            <c:ext xmlns:c16="http://schemas.microsoft.com/office/drawing/2014/chart" uri="{C3380CC4-5D6E-409C-BE32-E72D297353CC}">
              <c16:uniqueId val="{00000000-2529-4669-9AC3-26289410D7D4}"/>
            </c:ext>
          </c:extLst>
        </c:ser>
        <c:dLbls>
          <c:dLblPos val="outEnd"/>
          <c:showLegendKey val="0"/>
          <c:showVal val="1"/>
          <c:showCatName val="0"/>
          <c:showSerName val="0"/>
          <c:showPercent val="0"/>
          <c:showBubbleSize val="0"/>
        </c:dLbls>
        <c:gapWidth val="219"/>
        <c:overlap val="-27"/>
        <c:axId val="1476280656"/>
        <c:axId val="1417358128"/>
      </c:barChart>
      <c:catAx>
        <c:axId val="147628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17358128"/>
        <c:crosses val="autoZero"/>
        <c:auto val="1"/>
        <c:lblAlgn val="ctr"/>
        <c:lblOffset val="100"/>
        <c:noMultiLvlLbl val="0"/>
      </c:catAx>
      <c:valAx>
        <c:axId val="1417358128"/>
        <c:scaling>
          <c:orientation val="minMax"/>
        </c:scaling>
        <c:delete val="1"/>
        <c:axPos val="l"/>
        <c:numFmt formatCode="General" sourceLinked="1"/>
        <c:majorTickMark val="out"/>
        <c:minorTickMark val="none"/>
        <c:tickLblPos val="nextTo"/>
        <c:crossAx val="147628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 famine_disease_deaths!PivotTable3</c:name>
    <c:fmtId val="6"/>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IN"/>
              <a:t>Estimated Deaths Due to </a:t>
            </a:r>
          </a:p>
          <a:p>
            <a:pPr algn="ctr">
              <a:defRPr/>
            </a:pPr>
            <a:r>
              <a:rPr lang="en-IN"/>
              <a:t>Famine &amp; Disease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11240013636218E-3"/>
          <c:y val="0.14856461518332015"/>
          <c:w val="0.93888888888888888"/>
          <c:h val="0.67003098571011954"/>
        </c:manualLayout>
      </c:layout>
      <c:barChart>
        <c:barDir val="col"/>
        <c:grouping val="clustered"/>
        <c:varyColors val="0"/>
        <c:ser>
          <c:idx val="0"/>
          <c:order val="0"/>
          <c:tx>
            <c:strRef>
              <c:f>' famine_disease_deaths'!$B$3</c:f>
              <c:strCache>
                <c:ptCount val="1"/>
                <c:pt idx="0">
                  <c:v>Total</c:v>
                </c:pt>
              </c:strCache>
            </c:strRef>
          </c:tx>
          <c:spPr>
            <a:solidFill>
              <a:schemeClr val="dk1">
                <a:tint val="885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famine_disease_deaths'!$A$4:$A$9</c:f>
              <c:strCache>
                <c:ptCount val="6"/>
                <c:pt idx="0">
                  <c:v>Yemen Civil War</c:v>
                </c:pt>
                <c:pt idx="1">
                  <c:v>Syrian Civil War</c:v>
                </c:pt>
                <c:pt idx="2">
                  <c:v>Iraq War OIF </c:v>
                </c:pt>
                <c:pt idx="3">
                  <c:v>Iran-Iraq War</c:v>
                </c:pt>
                <c:pt idx="4">
                  <c:v>Lebanese Civil War</c:v>
                </c:pt>
                <c:pt idx="5">
                  <c:v>Gaza War Al-Aqsa Flood</c:v>
                </c:pt>
              </c:strCache>
            </c:strRef>
          </c:cat>
          <c:val>
            <c:numRef>
              <c:f>' famine_disease_deaths'!$B$4:$B$9</c:f>
              <c:numCache>
                <c:formatCode>General</c:formatCode>
                <c:ptCount val="6"/>
                <c:pt idx="0">
                  <c:v>200000</c:v>
                </c:pt>
                <c:pt idx="1">
                  <c:v>150000</c:v>
                </c:pt>
                <c:pt idx="2">
                  <c:v>100000</c:v>
                </c:pt>
                <c:pt idx="3">
                  <c:v>50000</c:v>
                </c:pt>
                <c:pt idx="4">
                  <c:v>30000</c:v>
                </c:pt>
                <c:pt idx="5">
                  <c:v>20000</c:v>
                </c:pt>
              </c:numCache>
            </c:numRef>
          </c:val>
          <c:extLst>
            <c:ext xmlns:c16="http://schemas.microsoft.com/office/drawing/2014/chart" uri="{C3380CC4-5D6E-409C-BE32-E72D297353CC}">
              <c16:uniqueId val="{00000000-3E92-405F-A612-727359FF298E}"/>
            </c:ext>
          </c:extLst>
        </c:ser>
        <c:dLbls>
          <c:dLblPos val="outEnd"/>
          <c:showLegendKey val="0"/>
          <c:showVal val="1"/>
          <c:showCatName val="0"/>
          <c:showSerName val="0"/>
          <c:showPercent val="0"/>
          <c:showBubbleSize val="0"/>
        </c:dLbls>
        <c:gapWidth val="219"/>
        <c:overlap val="-27"/>
        <c:axId val="1476312672"/>
        <c:axId val="236212464"/>
      </c:barChart>
      <c:catAx>
        <c:axId val="147631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6212464"/>
        <c:crosses val="autoZero"/>
        <c:auto val="1"/>
        <c:lblAlgn val="ctr"/>
        <c:lblOffset val="100"/>
        <c:noMultiLvlLbl val="0"/>
      </c:catAx>
      <c:valAx>
        <c:axId val="236212464"/>
        <c:scaling>
          <c:orientation val="minMax"/>
        </c:scaling>
        <c:delete val="1"/>
        <c:axPos val="l"/>
        <c:numFmt formatCode="General" sourceLinked="1"/>
        <c:majorTickMark val="out"/>
        <c:minorTickMark val="none"/>
        <c:tickLblPos val="nextTo"/>
        <c:crossAx val="147631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[war.xlsx]wounded and death!PivotTable5</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Comparison of Deaths and </a:t>
            </a:r>
          </a:p>
          <a:p>
            <a:pPr>
              <a:defRPr/>
            </a:pPr>
            <a:r>
              <a:rPr lang="en-IN"/>
              <a:t>Wounded</a:t>
            </a:r>
          </a:p>
        </c:rich>
      </c:tx>
      <c:layout>
        <c:manualLayout>
          <c:xMode val="edge"/>
          <c:yMode val="edge"/>
          <c:x val="0.2303498579531491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611111111111108E-2"/>
              <c:y val="-8.561351706036754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722222222222216E-2"/>
              <c:y val="6.246536891221930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05555555555556"/>
              <c:y val="2.086796442111385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388888888888884E-2"/>
              <c:y val="5.783573928258967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1388888888888889E-2"/>
              <c:y val="2.2801837270341207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722222222222244E-2"/>
              <c:y val="7.172462817147848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7388888888888891E-2"/>
              <c:y val="6.246536891221930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6055555555555553E-2"/>
              <c:y val="-6.253463108778069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27777777777783E-2"/>
              <c:y val="-9.024314668999712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61111111111111E-2"/>
              <c:y val="-7.635425780110818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61111111111111E-2"/>
              <c:y val="-7.635425780110828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27777777777783E-2"/>
              <c:y val="-9.024314668999712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611111111111108E-2"/>
              <c:y val="-8.561351706036754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05555555555556"/>
              <c:y val="2.086796442111385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61111111111111E-2"/>
              <c:y val="-7.635425780110818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61111111111111E-2"/>
              <c:y val="-7.635425780110828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7388888888888891E-2"/>
              <c:y val="6.246536891221930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722222222222244E-2"/>
              <c:y val="7.172462817147848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722222222222216E-2"/>
              <c:y val="6.246536891221930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6055555555555553E-2"/>
              <c:y val="-6.253463108778069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388888888888884E-2"/>
              <c:y val="5.783573928258967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1388888888888889E-2"/>
              <c:y val="2.2801837270341207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27777777777783E-2"/>
              <c:y val="-9.0243146689997125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611111111111108E-2"/>
              <c:y val="-8.5613517060367544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05555555555556"/>
              <c:y val="2.0867964421113858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61111111111111E-2"/>
              <c:y val="-7.6354257801108188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61111111111111E-2"/>
              <c:y val="-7.6354257801108286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7388888888888891E-2"/>
              <c:y val="6.2465368912219307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722222222222244E-2"/>
              <c:y val="7.1724628171478483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2722222222222216E-2"/>
              <c:y val="6.2465368912219307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6055555555555553E-2"/>
              <c:y val="-6.2534631087780693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388888888888884E-2"/>
              <c:y val="5.7835739282589678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1388888888888889E-2"/>
              <c:y val="2.2801837270341207E-3"/>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29695137101189E-2"/>
          <c:y val="1.066272173948452E-2"/>
          <c:w val="0.93888888888888888"/>
          <c:h val="0.83248468941382325"/>
        </c:manualLayout>
      </c:layout>
      <c:lineChart>
        <c:grouping val="standard"/>
        <c:varyColors val="0"/>
        <c:ser>
          <c:idx val="0"/>
          <c:order val="0"/>
          <c:tx>
            <c:strRef>
              <c:f>'wounded and death'!$B$3</c:f>
              <c:strCache>
                <c:ptCount val="1"/>
                <c:pt idx="0">
                  <c:v>Total Wounded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A80F-4579-ACE6-3FFB6A0BE30E}"/>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A80F-4579-ACE6-3FFB6A0BE30E}"/>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A80F-4579-ACE6-3FFB6A0BE30E}"/>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A80F-4579-ACE6-3FFB6A0BE30E}"/>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A80F-4579-ACE6-3FFB6A0BE30E}"/>
              </c:ext>
            </c:extLst>
          </c:dPt>
          <c:dLbls>
            <c:dLbl>
              <c:idx val="1"/>
              <c:layout>
                <c:manualLayout>
                  <c:x val="-2.627777777777783E-2"/>
                  <c:y val="-9.024314668999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0F-4579-ACE6-3FFB6A0BE30E}"/>
                </c:ext>
              </c:extLst>
            </c:dLbl>
            <c:dLbl>
              <c:idx val="2"/>
              <c:layout>
                <c:manualLayout>
                  <c:x val="-3.6611111111111108E-2"/>
                  <c:y val="-8.56135170603675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0F-4579-ACE6-3FFB6A0BE30E}"/>
                </c:ext>
              </c:extLst>
            </c:dLbl>
            <c:dLbl>
              <c:idx val="3"/>
              <c:layout>
                <c:manualLayout>
                  <c:x val="-0.10605555555555556"/>
                  <c:y val="2.08679644211138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0F-4579-ACE6-3FFB6A0BE30E}"/>
                </c:ext>
              </c:extLst>
            </c:dLbl>
            <c:dLbl>
              <c:idx val="4"/>
              <c:layout>
                <c:manualLayout>
                  <c:x val="-6.161111111111111E-2"/>
                  <c:y val="-7.6354257801108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0F-4579-ACE6-3FFB6A0BE30E}"/>
                </c:ext>
              </c:extLst>
            </c:dLbl>
            <c:dLbl>
              <c:idx val="5"/>
              <c:layout>
                <c:manualLayout>
                  <c:x val="-6.161111111111111E-2"/>
                  <c:y val="-7.63542578011082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0F-4579-ACE6-3FFB6A0BE30E}"/>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'wounded and death'!$A$4:$A$9</c:f>
              <c:strCache>
                <c:ptCount val="6"/>
                <c:pt idx="0">
                  <c:v>Iran-Iraq War</c:v>
                </c:pt>
                <c:pt idx="1">
                  <c:v>Syrian Civil War</c:v>
                </c:pt>
                <c:pt idx="2">
                  <c:v>Yemen Civil War</c:v>
                </c:pt>
                <c:pt idx="3">
                  <c:v>Iraq War OIF </c:v>
                </c:pt>
                <c:pt idx="4">
                  <c:v>Lebanese Civil War</c:v>
                </c:pt>
                <c:pt idx="5">
                  <c:v>Gaza War Al-Aqsa Flood</c:v>
                </c:pt>
              </c:strCache>
            </c:strRef>
          </c:cat>
          <c:val>
            <c:numRef>
              <c:f>'wounded and death'!$B$4:$B$9</c:f>
              <c:numCache>
                <c:formatCode>0</c:formatCode>
                <c:ptCount val="6"/>
                <c:pt idx="0">
                  <c:v>1500000</c:v>
                </c:pt>
                <c:pt idx="1">
                  <c:v>1000000</c:v>
                </c:pt>
                <c:pt idx="2">
                  <c:v>400000</c:v>
                </c:pt>
                <c:pt idx="3">
                  <c:v>100000</c:v>
                </c:pt>
                <c:pt idx="4">
                  <c:v>300000</c:v>
                </c:pt>
                <c:pt idx="5">
                  <c:v>100000</c:v>
                </c:pt>
              </c:numCache>
            </c:numRef>
          </c:val>
          <c:smooth val="0"/>
          <c:extLst>
            <c:ext xmlns:c16="http://schemas.microsoft.com/office/drawing/2014/chart" uri="{C3380CC4-5D6E-409C-BE32-E72D297353CC}">
              <c16:uniqueId val="{0000000A-A80F-4579-ACE6-3FFB6A0BE30E}"/>
            </c:ext>
          </c:extLst>
        </c:ser>
        <c:ser>
          <c:idx val="1"/>
          <c:order val="1"/>
          <c:tx>
            <c:strRef>
              <c:f>'wounded and death'!$C$3</c:f>
              <c:strCache>
                <c:ptCount val="1"/>
                <c:pt idx="0">
                  <c:v>Total Death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C-A80F-4579-ACE6-3FFB6A0BE30E}"/>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E-A80F-4579-ACE6-3FFB6A0BE30E}"/>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0-A80F-4579-ACE6-3FFB6A0BE30E}"/>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2-A80F-4579-ACE6-3FFB6A0BE30E}"/>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4-A80F-4579-ACE6-3FFB6A0BE30E}"/>
              </c:ext>
            </c:extLst>
          </c:dPt>
          <c:dPt>
            <c:idx val="5"/>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6-A80F-4579-ACE6-3FFB6A0BE30E}"/>
              </c:ext>
            </c:extLst>
          </c:dPt>
          <c:dLbls>
            <c:dLbl>
              <c:idx val="0"/>
              <c:layout>
                <c:manualLayout>
                  <c:x val="-8.7388888888888891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80F-4579-ACE6-3FFB6A0BE30E}"/>
                </c:ext>
              </c:extLst>
            </c:dLbl>
            <c:dLbl>
              <c:idx val="1"/>
              <c:layout>
                <c:manualLayout>
                  <c:x val="-7.2722222222222244E-2"/>
                  <c:y val="7.17246281714784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80F-4579-ACE6-3FFB6A0BE30E}"/>
                </c:ext>
              </c:extLst>
            </c:dLbl>
            <c:dLbl>
              <c:idx val="2"/>
              <c:layout>
                <c:manualLayout>
                  <c:x val="-7.2722222222222216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80F-4579-ACE6-3FFB6A0BE30E}"/>
                </c:ext>
              </c:extLst>
            </c:dLbl>
            <c:dLbl>
              <c:idx val="3"/>
              <c:layout>
                <c:manualLayout>
                  <c:x val="-5.6055555555555553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80F-4579-ACE6-3FFB6A0BE30E}"/>
                </c:ext>
              </c:extLst>
            </c:dLbl>
            <c:dLbl>
              <c:idx val="4"/>
              <c:layout>
                <c:manualLayout>
                  <c:x val="-6.4388888888888884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80F-4579-ACE6-3FFB6A0BE30E}"/>
                </c:ext>
              </c:extLst>
            </c:dLbl>
            <c:dLbl>
              <c:idx val="5"/>
              <c:layout>
                <c:manualLayout>
                  <c:x val="1.1388888888888889E-2"/>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80F-4579-ACE6-3FFB6A0BE30E}"/>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'wounded and death'!$A$4:$A$9</c:f>
              <c:strCache>
                <c:ptCount val="6"/>
                <c:pt idx="0">
                  <c:v>Iran-Iraq War</c:v>
                </c:pt>
                <c:pt idx="1">
                  <c:v>Syrian Civil War</c:v>
                </c:pt>
                <c:pt idx="2">
                  <c:v>Yemen Civil War</c:v>
                </c:pt>
                <c:pt idx="3">
                  <c:v>Iraq War OIF </c:v>
                </c:pt>
                <c:pt idx="4">
                  <c:v>Lebanese Civil War</c:v>
                </c:pt>
                <c:pt idx="5">
                  <c:v>Gaza War Al-Aqsa Flood</c:v>
                </c:pt>
              </c:strCache>
            </c:strRef>
          </c:cat>
          <c:val>
            <c:numRef>
              <c:f>'wounded and death'!$C$4:$C$9</c:f>
              <c:numCache>
                <c:formatCode>General</c:formatCode>
                <c:ptCount val="6"/>
                <c:pt idx="0">
                  <c:v>1000000</c:v>
                </c:pt>
                <c:pt idx="1">
                  <c:v>500000</c:v>
                </c:pt>
                <c:pt idx="2">
                  <c:v>377000</c:v>
                </c:pt>
                <c:pt idx="3">
                  <c:v>300000</c:v>
                </c:pt>
                <c:pt idx="4">
                  <c:v>170000</c:v>
                </c:pt>
                <c:pt idx="5">
                  <c:v>80000</c:v>
                </c:pt>
              </c:numCache>
            </c:numRef>
          </c:val>
          <c:smooth val="0"/>
          <c:extLst>
            <c:ext xmlns:c16="http://schemas.microsoft.com/office/drawing/2014/chart" uri="{C3380CC4-5D6E-409C-BE32-E72D297353CC}">
              <c16:uniqueId val="{00000017-A80F-4579-ACE6-3FFB6A0BE30E}"/>
            </c:ext>
          </c:extLst>
        </c:ser>
        <c:dLbls>
          <c:dLblPos val="ctr"/>
          <c:showLegendKey val="0"/>
          <c:showVal val="1"/>
          <c:showCatName val="0"/>
          <c:showSerName val="0"/>
          <c:showPercent val="0"/>
          <c:showBubbleSize val="0"/>
        </c:dLbls>
        <c:marker val="1"/>
        <c:smooth val="0"/>
        <c:axId val="1476276944"/>
        <c:axId val="236223024"/>
      </c:lineChart>
      <c:catAx>
        <c:axId val="147627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6223024"/>
        <c:crosses val="autoZero"/>
        <c:auto val="1"/>
        <c:lblAlgn val="ctr"/>
        <c:lblOffset val="100"/>
        <c:noMultiLvlLbl val="0"/>
      </c:catAx>
      <c:valAx>
        <c:axId val="236223024"/>
        <c:scaling>
          <c:orientation val="minMax"/>
        </c:scaling>
        <c:delete val="1"/>
        <c:axPos val="l"/>
        <c:numFmt formatCode="0" sourceLinked="1"/>
        <c:majorTickMark val="none"/>
        <c:minorTickMark val="none"/>
        <c:tickLblPos val="nextTo"/>
        <c:crossAx val="1476276944"/>
        <c:crosses val="autoZero"/>
        <c:crossBetween val="between"/>
      </c:valAx>
      <c:spPr>
        <a:noFill/>
        <a:ln>
          <a:noFill/>
        </a:ln>
        <a:effectLst/>
      </c:spPr>
    </c:plotArea>
    <c:legend>
      <c:legendPos val="r"/>
      <c:layout>
        <c:manualLayout>
          <c:xMode val="edge"/>
          <c:yMode val="edge"/>
          <c:x val="0.68535292148884064"/>
          <c:y val="0.12152668416447947"/>
          <c:w val="0.29337576552930883"/>
          <c:h val="0.2569466316710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[war.xlsx]men_women_chidren!PivotTable1</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Civilian Casualties by Conflict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77776053621164E-2"/>
          <c:y val="0.26053941200464847"/>
          <c:w val="0.93204444789275764"/>
          <c:h val="0.54545869256055146"/>
        </c:manualLayout>
      </c:layout>
      <c:barChart>
        <c:barDir val="col"/>
        <c:grouping val="stacked"/>
        <c:varyColors val="0"/>
        <c:ser>
          <c:idx val="0"/>
          <c:order val="0"/>
          <c:tx>
            <c:strRef>
              <c:f>men_women_chidren!$B$3</c:f>
              <c:strCache>
                <c:ptCount val="1"/>
                <c:pt idx="0">
                  <c:v>Men</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men_women_chidren!$A$4:$A$9</c:f>
              <c:strCache>
                <c:ptCount val="6"/>
                <c:pt idx="0">
                  <c:v>Iran-Iraq War</c:v>
                </c:pt>
                <c:pt idx="1">
                  <c:v>Yemen Civil War</c:v>
                </c:pt>
                <c:pt idx="2">
                  <c:v>Syrian Civil War</c:v>
                </c:pt>
                <c:pt idx="3">
                  <c:v>Lebanese Civil War</c:v>
                </c:pt>
                <c:pt idx="4">
                  <c:v>Iraq War OIF </c:v>
                </c:pt>
                <c:pt idx="5">
                  <c:v>Gaza War Al-Aqsa Flood</c:v>
                </c:pt>
              </c:strCache>
            </c:strRef>
          </c:cat>
          <c:val>
            <c:numRef>
              <c:f>men_women_chidren!$B$4:$B$9</c:f>
              <c:numCache>
                <c:formatCode>0%</c:formatCode>
                <c:ptCount val="6"/>
                <c:pt idx="0">
                  <c:v>0.5</c:v>
                </c:pt>
                <c:pt idx="1">
                  <c:v>0.4</c:v>
                </c:pt>
                <c:pt idx="2">
                  <c:v>0.35</c:v>
                </c:pt>
                <c:pt idx="3">
                  <c:v>0.35</c:v>
                </c:pt>
                <c:pt idx="4">
                  <c:v>0.35</c:v>
                </c:pt>
                <c:pt idx="5">
                  <c:v>0.2</c:v>
                </c:pt>
              </c:numCache>
            </c:numRef>
          </c:val>
          <c:extLst>
            <c:ext xmlns:c16="http://schemas.microsoft.com/office/drawing/2014/chart" uri="{C3380CC4-5D6E-409C-BE32-E72D297353CC}">
              <c16:uniqueId val="{00000000-DEA0-4DAA-AC92-05C20CD6990E}"/>
            </c:ext>
          </c:extLst>
        </c:ser>
        <c:ser>
          <c:idx val="1"/>
          <c:order val="1"/>
          <c:tx>
            <c:strRef>
              <c:f>men_women_chidren!$C$3</c:f>
              <c:strCache>
                <c:ptCount val="1"/>
                <c:pt idx="0">
                  <c:v>Women</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men_women_chidren!$A$4:$A$9</c:f>
              <c:strCache>
                <c:ptCount val="6"/>
                <c:pt idx="0">
                  <c:v>Iran-Iraq War</c:v>
                </c:pt>
                <c:pt idx="1">
                  <c:v>Yemen Civil War</c:v>
                </c:pt>
                <c:pt idx="2">
                  <c:v>Syrian Civil War</c:v>
                </c:pt>
                <c:pt idx="3">
                  <c:v>Lebanese Civil War</c:v>
                </c:pt>
                <c:pt idx="4">
                  <c:v>Iraq War OIF </c:v>
                </c:pt>
                <c:pt idx="5">
                  <c:v>Gaza War Al-Aqsa Flood</c:v>
                </c:pt>
              </c:strCache>
            </c:strRef>
          </c:cat>
          <c:val>
            <c:numRef>
              <c:f>men_women_chidren!$C$4:$C$9</c:f>
              <c:numCache>
                <c:formatCode>0%</c:formatCode>
                <c:ptCount val="6"/>
                <c:pt idx="0">
                  <c:v>0.2</c:v>
                </c:pt>
                <c:pt idx="1">
                  <c:v>0.28000000000000003</c:v>
                </c:pt>
                <c:pt idx="2">
                  <c:v>0.28000000000000003</c:v>
                </c:pt>
                <c:pt idx="3">
                  <c:v>0.3</c:v>
                </c:pt>
                <c:pt idx="4">
                  <c:v>0.3</c:v>
                </c:pt>
                <c:pt idx="5">
                  <c:v>0.3</c:v>
                </c:pt>
              </c:numCache>
            </c:numRef>
          </c:val>
          <c:extLst>
            <c:ext xmlns:c16="http://schemas.microsoft.com/office/drawing/2014/chart" uri="{C3380CC4-5D6E-409C-BE32-E72D297353CC}">
              <c16:uniqueId val="{00000001-DEA0-4DAA-AC92-05C20CD6990E}"/>
            </c:ext>
          </c:extLst>
        </c:ser>
        <c:ser>
          <c:idx val="2"/>
          <c:order val="2"/>
          <c:tx>
            <c:strRef>
              <c:f>men_women_chidren!$D$3</c:f>
              <c:strCache>
                <c:ptCount val="1"/>
                <c:pt idx="0">
                  <c:v>Children</c:v>
                </c:pt>
              </c:strCache>
            </c:strRef>
          </c:tx>
          <c:spPr>
            <a:solidFill>
              <a:schemeClr val="dk1">
                <a:tint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men_women_chidren!$A$4:$A$9</c:f>
              <c:strCache>
                <c:ptCount val="6"/>
                <c:pt idx="0">
                  <c:v>Iran-Iraq War</c:v>
                </c:pt>
                <c:pt idx="1">
                  <c:v>Yemen Civil War</c:v>
                </c:pt>
                <c:pt idx="2">
                  <c:v>Syrian Civil War</c:v>
                </c:pt>
                <c:pt idx="3">
                  <c:v>Lebanese Civil War</c:v>
                </c:pt>
                <c:pt idx="4">
                  <c:v>Iraq War OIF </c:v>
                </c:pt>
                <c:pt idx="5">
                  <c:v>Gaza War Al-Aqsa Flood</c:v>
                </c:pt>
              </c:strCache>
            </c:strRef>
          </c:cat>
          <c:val>
            <c:numRef>
              <c:f>men_women_chidren!$D$4:$D$9</c:f>
              <c:numCache>
                <c:formatCode>0%</c:formatCode>
                <c:ptCount val="6"/>
                <c:pt idx="0">
                  <c:v>0.3</c:v>
                </c:pt>
                <c:pt idx="1">
                  <c:v>0.32</c:v>
                </c:pt>
                <c:pt idx="2">
                  <c:v>0.37</c:v>
                </c:pt>
                <c:pt idx="3">
                  <c:v>0.35</c:v>
                </c:pt>
                <c:pt idx="4">
                  <c:v>0.35</c:v>
                </c:pt>
                <c:pt idx="5">
                  <c:v>0.5</c:v>
                </c:pt>
              </c:numCache>
            </c:numRef>
          </c:val>
          <c:extLst>
            <c:ext xmlns:c16="http://schemas.microsoft.com/office/drawing/2014/chart" uri="{C3380CC4-5D6E-409C-BE32-E72D297353CC}">
              <c16:uniqueId val="{00000002-DEA0-4DAA-AC92-05C20CD6990E}"/>
            </c:ext>
          </c:extLst>
        </c:ser>
        <c:dLbls>
          <c:dLblPos val="ctr"/>
          <c:showLegendKey val="0"/>
          <c:showVal val="1"/>
          <c:showCatName val="0"/>
          <c:showSerName val="0"/>
          <c:showPercent val="0"/>
          <c:showBubbleSize val="0"/>
        </c:dLbls>
        <c:gapWidth val="80"/>
        <c:overlap val="100"/>
        <c:axId val="1895430799"/>
        <c:axId val="531550191"/>
      </c:barChart>
      <c:catAx>
        <c:axId val="1895430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1550191"/>
        <c:crosses val="autoZero"/>
        <c:auto val="1"/>
        <c:lblAlgn val="ctr"/>
        <c:lblOffset val="100"/>
        <c:noMultiLvlLbl val="0"/>
      </c:catAx>
      <c:valAx>
        <c:axId val="531550191"/>
        <c:scaling>
          <c:orientation val="minMax"/>
        </c:scaling>
        <c:delete val="1"/>
        <c:axPos val="l"/>
        <c:numFmt formatCode="0%" sourceLinked="1"/>
        <c:majorTickMark val="out"/>
        <c:minorTickMark val="none"/>
        <c:tickLblPos val="nextTo"/>
        <c:crossAx val="1895430799"/>
        <c:crosses val="autoZero"/>
        <c:crossBetween val="between"/>
      </c:valAx>
      <c:spPr>
        <a:noFill/>
        <a:ln>
          <a:noFill/>
        </a:ln>
        <a:effectLst/>
      </c:spPr>
    </c:plotArea>
    <c:legend>
      <c:legendPos val="t"/>
      <c:layout>
        <c:manualLayout>
          <c:xMode val="edge"/>
          <c:yMode val="edge"/>
          <c:x val="0.2840672299329724"/>
          <c:y val="0.15060185185185185"/>
          <c:w val="0.4318652739401489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[war.xlsx]journalist !PivotTable2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Journalists vs Aid Workers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dLbl>
          <c:idx val="0"/>
          <c:layout>
            <c:manualLayout>
              <c:x val="-6.138735420503376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dLbl>
          <c:idx val="0"/>
          <c:layout>
            <c:manualLayout>
              <c:x val="-6.1387354205033762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dLbl>
          <c:idx val="0"/>
          <c:layout>
            <c:manualLayout>
              <c:x val="-6.1387354205033762E-3"/>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69620509883919E-2"/>
          <c:y val="0.13752902888887786"/>
          <c:w val="0.90618674667652876"/>
          <c:h val="0.67254267280091962"/>
        </c:manualLayout>
      </c:layout>
      <c:barChart>
        <c:barDir val="col"/>
        <c:grouping val="clustered"/>
        <c:varyColors val="0"/>
        <c:ser>
          <c:idx val="0"/>
          <c:order val="0"/>
          <c:tx>
            <c:strRef>
              <c:f>'journalist '!$B$3</c:f>
              <c:strCache>
                <c:ptCount val="1"/>
                <c:pt idx="0">
                  <c:v>Journalists</c:v>
                </c:pt>
              </c:strCache>
            </c:strRef>
          </c:tx>
          <c:spPr>
            <a:solidFill>
              <a:schemeClr val="dk1">
                <a:tint val="88500"/>
              </a:schemeClr>
            </a:solidFill>
            <a:ln>
              <a:noFill/>
            </a:ln>
            <a:effectLst/>
          </c:spPr>
          <c:invertIfNegative val="0"/>
          <c:dPt>
            <c:idx val="1"/>
            <c:invertIfNegative val="0"/>
            <c:bubble3D val="0"/>
            <c:spPr>
              <a:solidFill>
                <a:schemeClr val="dk1">
                  <a:tint val="88500"/>
                </a:schemeClr>
              </a:solidFill>
              <a:ln>
                <a:noFill/>
              </a:ln>
              <a:effectLst/>
            </c:spPr>
            <c:extLst>
              <c:ext xmlns:c16="http://schemas.microsoft.com/office/drawing/2014/chart" uri="{C3380CC4-5D6E-409C-BE32-E72D297353CC}">
                <c16:uniqueId val="{00000001-722A-4CFA-8D9C-CD1863AC3186}"/>
              </c:ext>
            </c:extLst>
          </c:dPt>
          <c:dLbls>
            <c:dLbl>
              <c:idx val="1"/>
              <c:layout>
                <c:manualLayout>
                  <c:x val="-6.1387354205033762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2A-4CFA-8D9C-CD1863AC3186}"/>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'journalist '!$A$4:$A$9</c:f>
              <c:strCache>
                <c:ptCount val="6"/>
                <c:pt idx="0">
                  <c:v>Syrian Civil War</c:v>
                </c:pt>
                <c:pt idx="1">
                  <c:v>Gaza War Al-Aqsa Flood</c:v>
                </c:pt>
                <c:pt idx="2">
                  <c:v>Iraq War OIF </c:v>
                </c:pt>
                <c:pt idx="3">
                  <c:v>Lebanese Civil War</c:v>
                </c:pt>
                <c:pt idx="4">
                  <c:v>Yemen Civil War</c:v>
                </c:pt>
                <c:pt idx="5">
                  <c:v>Iran-Iraq War</c:v>
                </c:pt>
              </c:strCache>
            </c:strRef>
          </c:cat>
          <c:val>
            <c:numRef>
              <c:f>'journalist '!$B$4:$B$9</c:f>
              <c:numCache>
                <c:formatCode>General</c:formatCode>
                <c:ptCount val="6"/>
                <c:pt idx="0">
                  <c:v>600</c:v>
                </c:pt>
                <c:pt idx="1">
                  <c:v>248</c:v>
                </c:pt>
                <c:pt idx="2">
                  <c:v>150</c:v>
                </c:pt>
                <c:pt idx="3">
                  <c:v>30</c:v>
                </c:pt>
                <c:pt idx="4">
                  <c:v>30</c:v>
                </c:pt>
                <c:pt idx="5">
                  <c:v>10</c:v>
                </c:pt>
              </c:numCache>
            </c:numRef>
          </c:val>
          <c:extLst>
            <c:ext xmlns:c16="http://schemas.microsoft.com/office/drawing/2014/chart" uri="{C3380CC4-5D6E-409C-BE32-E72D297353CC}">
              <c16:uniqueId val="{00000002-722A-4CFA-8D9C-CD1863AC3186}"/>
            </c:ext>
          </c:extLst>
        </c:ser>
        <c:ser>
          <c:idx val="1"/>
          <c:order val="1"/>
          <c:tx>
            <c:strRef>
              <c:f>'journalist '!$C$3</c:f>
              <c:strCache>
                <c:ptCount val="1"/>
                <c:pt idx="0">
                  <c:v>Aid Workers</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'journalist '!$A$4:$A$9</c:f>
              <c:strCache>
                <c:ptCount val="6"/>
                <c:pt idx="0">
                  <c:v>Syrian Civil War</c:v>
                </c:pt>
                <c:pt idx="1">
                  <c:v>Gaza War Al-Aqsa Flood</c:v>
                </c:pt>
                <c:pt idx="2">
                  <c:v>Iraq War OIF </c:v>
                </c:pt>
                <c:pt idx="3">
                  <c:v>Lebanese Civil War</c:v>
                </c:pt>
                <c:pt idx="4">
                  <c:v>Yemen Civil War</c:v>
                </c:pt>
                <c:pt idx="5">
                  <c:v>Iran-Iraq War</c:v>
                </c:pt>
              </c:strCache>
            </c:strRef>
          </c:cat>
          <c:val>
            <c:numRef>
              <c:f>'journalist '!$C$4:$C$9</c:f>
              <c:numCache>
                <c:formatCode>General</c:formatCode>
                <c:ptCount val="6"/>
                <c:pt idx="0">
                  <c:v>100</c:v>
                </c:pt>
                <c:pt idx="1">
                  <c:v>224</c:v>
                </c:pt>
                <c:pt idx="2">
                  <c:v>80</c:v>
                </c:pt>
                <c:pt idx="3">
                  <c:v>20</c:v>
                </c:pt>
                <c:pt idx="4">
                  <c:v>25</c:v>
                </c:pt>
                <c:pt idx="5">
                  <c:v>5</c:v>
                </c:pt>
              </c:numCache>
            </c:numRef>
          </c:val>
          <c:extLst>
            <c:ext xmlns:c16="http://schemas.microsoft.com/office/drawing/2014/chart" uri="{C3380CC4-5D6E-409C-BE32-E72D297353CC}">
              <c16:uniqueId val="{00000003-722A-4CFA-8D9C-CD1863AC3186}"/>
            </c:ext>
          </c:extLst>
        </c:ser>
        <c:dLbls>
          <c:dLblPos val="outEnd"/>
          <c:showLegendKey val="0"/>
          <c:showVal val="1"/>
          <c:showCatName val="0"/>
          <c:showSerName val="0"/>
          <c:showPercent val="0"/>
          <c:showBubbleSize val="0"/>
        </c:dLbls>
        <c:gapWidth val="200"/>
        <c:overlap val="-21"/>
        <c:axId val="1895412239"/>
        <c:axId val="531535311"/>
      </c:barChart>
      <c:catAx>
        <c:axId val="189541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1535311"/>
        <c:crosses val="autoZero"/>
        <c:auto val="1"/>
        <c:lblAlgn val="ctr"/>
        <c:lblOffset val="100"/>
        <c:noMultiLvlLbl val="0"/>
      </c:catAx>
      <c:valAx>
        <c:axId val="531535311"/>
        <c:scaling>
          <c:orientation val="minMax"/>
        </c:scaling>
        <c:delete val="1"/>
        <c:axPos val="l"/>
        <c:numFmt formatCode="General" sourceLinked="1"/>
        <c:majorTickMark val="none"/>
        <c:minorTickMark val="none"/>
        <c:tickLblPos val="nextTo"/>
        <c:crossAx val="1895412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[war.xlsx]missing_persons!PivotTable2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POW vs Missing People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55000"/>
            </a:schemeClr>
          </a:solidFill>
          <a:ln>
            <a:noFill/>
          </a:ln>
          <a:effectLst/>
        </c:spPr>
        <c:dLbl>
          <c:idx val="0"/>
          <c:layout>
            <c:manualLayout>
              <c:x val="3.430531732418525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dLbl>
          <c:idx val="0"/>
          <c:layout>
            <c:manualLayout>
              <c:x val="-1.1435105774728416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55000"/>
            </a:schemeClr>
          </a:solidFill>
          <a:ln>
            <a:noFill/>
          </a:ln>
          <a:effectLst/>
        </c:spPr>
        <c:dLbl>
          <c:idx val="0"/>
          <c:layout>
            <c:manualLayout>
              <c:x val="1.715265866209262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55000"/>
            </a:schemeClr>
          </a:solidFill>
          <a:ln>
            <a:noFill/>
          </a:ln>
          <a:effectLst/>
        </c:spPr>
        <c:dLbl>
          <c:idx val="0"/>
          <c:layout>
            <c:manualLayout>
              <c:x val="5.717552887364208E-3"/>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dLbl>
          <c:idx val="0"/>
          <c:layout>
            <c:manualLayout>
              <c:x val="-1.143510577472846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55000"/>
            </a:schemeClr>
          </a:solidFill>
          <a:ln>
            <a:noFill/>
          </a:ln>
          <a:effectLst/>
        </c:spPr>
        <c:dLbl>
          <c:idx val="0"/>
          <c:layout>
            <c:manualLayout>
              <c:x val="2.0011435105774727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55000"/>
            </a:schemeClr>
          </a:solidFill>
          <a:ln>
            <a:noFill/>
          </a:ln>
          <a:effectLst/>
        </c:spPr>
        <c:dLbl>
          <c:idx val="0"/>
          <c:layout>
            <c:manualLayout>
              <c:x val="1.715265866209262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dLbl>
          <c:idx val="0"/>
          <c:layout>
            <c:manualLayout>
              <c:x val="-3.71640937678673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a:noFill/>
          </a:ln>
          <a:effectLst/>
        </c:spPr>
        <c:dLbl>
          <c:idx val="0"/>
          <c:layout>
            <c:manualLayout>
              <c:x val="-3.71640937678673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a:noFill/>
          </a:ln>
          <a:effectLst/>
        </c:spPr>
        <c:dLbl>
          <c:idx val="0"/>
          <c:layout>
            <c:manualLayout>
              <c:x val="-1.143510577472846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c:spPr>
        <c:dLbl>
          <c:idx val="0"/>
          <c:layout>
            <c:manualLayout>
              <c:x val="-1.1435105774728416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dk1">
              <a:tint val="55000"/>
            </a:schemeClr>
          </a:solidFill>
          <a:ln>
            <a:noFill/>
          </a:ln>
          <a:effectLst/>
        </c:spPr>
        <c:dLbl>
          <c:idx val="0"/>
          <c:layout>
            <c:manualLayout>
              <c:x val="1.715265866209262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dk1">
              <a:tint val="55000"/>
            </a:schemeClr>
          </a:solidFill>
          <a:ln>
            <a:noFill/>
          </a:ln>
          <a:effectLst/>
        </c:spPr>
        <c:dLbl>
          <c:idx val="0"/>
          <c:layout>
            <c:manualLayout>
              <c:x val="2.0011435105774727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dk1">
              <a:tint val="55000"/>
            </a:schemeClr>
          </a:solidFill>
          <a:ln>
            <a:noFill/>
          </a:ln>
          <a:effectLst/>
        </c:spPr>
        <c:dLbl>
          <c:idx val="0"/>
          <c:layout>
            <c:manualLayout>
              <c:x val="5.717552887364208E-3"/>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dk1">
              <a:tint val="55000"/>
            </a:schemeClr>
          </a:solidFill>
          <a:ln>
            <a:noFill/>
          </a:ln>
          <a:effectLst/>
        </c:spPr>
        <c:dLbl>
          <c:idx val="0"/>
          <c:layout>
            <c:manualLayout>
              <c:x val="1.715265866209262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dk1">
              <a:tint val="55000"/>
            </a:schemeClr>
          </a:solidFill>
          <a:ln>
            <a:noFill/>
          </a:ln>
          <a:effectLst/>
        </c:spPr>
        <c:dLbl>
          <c:idx val="0"/>
          <c:layout>
            <c:manualLayout>
              <c:x val="3.430531732418525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a:noFill/>
          </a:ln>
          <a:effectLst/>
        </c:spPr>
        <c:dLbl>
          <c:idx val="0"/>
          <c:layout>
            <c:manualLayout>
              <c:x val="-3.7164093767867355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dk1">
              <a:tint val="88500"/>
            </a:schemeClr>
          </a:solidFill>
          <a:ln>
            <a:noFill/>
          </a:ln>
          <a:effectLst/>
        </c:spPr>
        <c:dLbl>
          <c:idx val="0"/>
          <c:layout>
            <c:manualLayout>
              <c:x val="-1.1435105774728468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a:noFill/>
          </a:ln>
          <a:effectLst/>
        </c:spPr>
        <c:dLbl>
          <c:idx val="0"/>
          <c:layout>
            <c:manualLayout>
              <c:x val="-1.1435105774728416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dk1">
              <a:tint val="55000"/>
            </a:schemeClr>
          </a:solidFill>
          <a:ln>
            <a:noFill/>
          </a:ln>
          <a:effectLst/>
        </c:spPr>
        <c:dLbl>
          <c:idx val="0"/>
          <c:layout>
            <c:manualLayout>
              <c:x val="1.7152658662092625E-2"/>
              <c:y val="-4.6296296296296294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dk1">
              <a:tint val="55000"/>
            </a:schemeClr>
          </a:solidFill>
          <a:ln>
            <a:noFill/>
          </a:ln>
          <a:effectLst/>
        </c:spPr>
        <c:dLbl>
          <c:idx val="0"/>
          <c:layout>
            <c:manualLayout>
              <c:x val="2.0011435105774727E-2"/>
              <c:y val="-2.314814814814823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dk1">
              <a:tint val="55000"/>
            </a:schemeClr>
          </a:solidFill>
          <a:ln>
            <a:noFill/>
          </a:ln>
          <a:effectLst/>
        </c:spPr>
        <c:dLbl>
          <c:idx val="0"/>
          <c:layout>
            <c:manualLayout>
              <c:x val="5.717552887364208E-3"/>
              <c:y val="-2.314814814814823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55000"/>
            </a:schemeClr>
          </a:solidFill>
          <a:ln>
            <a:noFill/>
          </a:ln>
          <a:effectLst/>
        </c:spPr>
        <c:dLbl>
          <c:idx val="0"/>
          <c:layout>
            <c:manualLayout>
              <c:x val="1.7152658662092625E-2"/>
              <c:y val="4.6296296296295444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dk1">
              <a:tint val="55000"/>
            </a:schemeClr>
          </a:solidFill>
          <a:ln>
            <a:noFill/>
          </a:ln>
          <a:effectLst/>
        </c:spPr>
        <c:dLbl>
          <c:idx val="0"/>
          <c:layout>
            <c:manualLayout>
              <c:x val="3.430531732418525E-2"/>
              <c:y val="-1.6975112544026657E-1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56210811244312E-2"/>
          <c:y val="0.18889361826185824"/>
          <c:w val="0.82968026388657545"/>
          <c:h val="0.63036089238845139"/>
        </c:manualLayout>
      </c:layout>
      <c:barChart>
        <c:barDir val="col"/>
        <c:grouping val="clustered"/>
        <c:varyColors val="0"/>
        <c:ser>
          <c:idx val="0"/>
          <c:order val="0"/>
          <c:tx>
            <c:strRef>
              <c:f>missing_persons!$B$3</c:f>
              <c:strCache>
                <c:ptCount val="1"/>
                <c:pt idx="0">
                  <c:v>Total pows_taken</c:v>
                </c:pt>
              </c:strCache>
            </c:strRef>
          </c:tx>
          <c:spPr>
            <a:solidFill>
              <a:schemeClr val="dk1">
                <a:tint val="88500"/>
              </a:schemeClr>
            </a:solidFill>
            <a:ln>
              <a:noFill/>
            </a:ln>
            <a:effectLst/>
          </c:spPr>
          <c:invertIfNegative val="0"/>
          <c:dPt>
            <c:idx val="0"/>
            <c:invertIfNegative val="0"/>
            <c:bubble3D val="0"/>
            <c:spPr>
              <a:solidFill>
                <a:schemeClr val="dk1">
                  <a:tint val="88500"/>
                </a:schemeClr>
              </a:solidFill>
              <a:ln>
                <a:noFill/>
              </a:ln>
              <a:effectLst/>
            </c:spPr>
            <c:extLst>
              <c:ext xmlns:c16="http://schemas.microsoft.com/office/drawing/2014/chart" uri="{C3380CC4-5D6E-409C-BE32-E72D297353CC}">
                <c16:uniqueId val="{00000000-FC1E-4DBD-A3B6-EBC8E37D2C0F}"/>
              </c:ext>
            </c:extLst>
          </c:dPt>
          <c:dPt>
            <c:idx val="2"/>
            <c:invertIfNegative val="0"/>
            <c:bubble3D val="0"/>
            <c:spPr>
              <a:solidFill>
                <a:schemeClr val="dk1">
                  <a:tint val="88500"/>
                </a:schemeClr>
              </a:solidFill>
              <a:ln>
                <a:noFill/>
              </a:ln>
              <a:effectLst/>
            </c:spPr>
            <c:extLst>
              <c:ext xmlns:c16="http://schemas.microsoft.com/office/drawing/2014/chart" uri="{C3380CC4-5D6E-409C-BE32-E72D297353CC}">
                <c16:uniqueId val="{00000003-CED3-4218-87F3-576966D26C71}"/>
              </c:ext>
            </c:extLst>
          </c:dPt>
          <c:dPt>
            <c:idx val="3"/>
            <c:invertIfNegative val="0"/>
            <c:bubble3D val="0"/>
            <c:extLst>
              <c:ext xmlns:c16="http://schemas.microsoft.com/office/drawing/2014/chart" uri="{C3380CC4-5D6E-409C-BE32-E72D297353CC}">
                <c16:uniqueId val="{00000001-FC1E-4DBD-A3B6-EBC8E37D2C0F}"/>
              </c:ext>
            </c:extLst>
          </c:dPt>
          <c:dPt>
            <c:idx val="4"/>
            <c:invertIfNegative val="0"/>
            <c:bubble3D val="0"/>
            <c:spPr>
              <a:solidFill>
                <a:schemeClr val="dk1">
                  <a:tint val="88500"/>
                </a:schemeClr>
              </a:solidFill>
              <a:ln>
                <a:noFill/>
              </a:ln>
              <a:effectLst/>
            </c:spPr>
            <c:extLst>
              <c:ext xmlns:c16="http://schemas.microsoft.com/office/drawing/2014/chart" uri="{C3380CC4-5D6E-409C-BE32-E72D297353CC}">
                <c16:uniqueId val="{00000006-CED3-4218-87F3-576966D26C71}"/>
              </c:ext>
            </c:extLst>
          </c:dPt>
          <c:dPt>
            <c:idx val="5"/>
            <c:invertIfNegative val="0"/>
            <c:bubble3D val="0"/>
            <c:extLst>
              <c:ext xmlns:c16="http://schemas.microsoft.com/office/drawing/2014/chart" uri="{C3380CC4-5D6E-409C-BE32-E72D297353CC}">
                <c16:uniqueId val="{00000002-FC1E-4DBD-A3B6-EBC8E37D2C0F}"/>
              </c:ext>
            </c:extLst>
          </c:dPt>
          <c:dLbls>
            <c:dLbl>
              <c:idx val="0"/>
              <c:layout>
                <c:manualLayout>
                  <c:x val="-3.7164093767867355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1E-4DBD-A3B6-EBC8E37D2C0F}"/>
                </c:ext>
              </c:extLst>
            </c:dLbl>
            <c:dLbl>
              <c:idx val="2"/>
              <c:layout>
                <c:manualLayout>
                  <c:x val="-1.143510577472846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D3-4218-87F3-576966D26C71}"/>
                </c:ext>
              </c:extLst>
            </c:dLbl>
            <c:dLbl>
              <c:idx val="4"/>
              <c:layout>
                <c:manualLayout>
                  <c:x val="-1.1435105774728416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D3-4218-87F3-576966D26C71}"/>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missing_persons!$A$4:$A$9</c:f>
              <c:strCache>
                <c:ptCount val="6"/>
                <c:pt idx="0">
                  <c:v>Syrian Civil War</c:v>
                </c:pt>
                <c:pt idx="1">
                  <c:v>Iran-Iraq War</c:v>
                </c:pt>
                <c:pt idx="2">
                  <c:v>Yemen Civil War</c:v>
                </c:pt>
                <c:pt idx="3">
                  <c:v>Iraq War OIF </c:v>
                </c:pt>
                <c:pt idx="4">
                  <c:v>Lebanese Civil War</c:v>
                </c:pt>
                <c:pt idx="5">
                  <c:v>Gaza War Al-Aqsa Flood</c:v>
                </c:pt>
              </c:strCache>
            </c:strRef>
          </c:cat>
          <c:val>
            <c:numRef>
              <c:f>missing_persons!$B$4:$B$9</c:f>
              <c:numCache>
                <c:formatCode>General</c:formatCode>
                <c:ptCount val="6"/>
                <c:pt idx="0">
                  <c:v>100000</c:v>
                </c:pt>
                <c:pt idx="1">
                  <c:v>80000</c:v>
                </c:pt>
                <c:pt idx="2">
                  <c:v>20000</c:v>
                </c:pt>
                <c:pt idx="3">
                  <c:v>20000</c:v>
                </c:pt>
                <c:pt idx="4">
                  <c:v>15000</c:v>
                </c:pt>
                <c:pt idx="5">
                  <c:v>251</c:v>
                </c:pt>
              </c:numCache>
            </c:numRef>
          </c:val>
          <c:extLst>
            <c:ext xmlns:c16="http://schemas.microsoft.com/office/drawing/2014/chart" uri="{C3380CC4-5D6E-409C-BE32-E72D297353CC}">
              <c16:uniqueId val="{00000003-FC1E-4DBD-A3B6-EBC8E37D2C0F}"/>
            </c:ext>
          </c:extLst>
        </c:ser>
        <c:ser>
          <c:idx val="1"/>
          <c:order val="1"/>
          <c:tx>
            <c:strRef>
              <c:f>missing_persons!$C$3</c:f>
              <c:strCache>
                <c:ptCount val="1"/>
                <c:pt idx="0">
                  <c:v>Total missing_persons</c:v>
                </c:pt>
              </c:strCache>
            </c:strRef>
          </c:tx>
          <c:spPr>
            <a:solidFill>
              <a:schemeClr val="dk1">
                <a:tint val="55000"/>
              </a:schemeClr>
            </a:solidFill>
            <a:ln>
              <a:noFill/>
            </a:ln>
            <a:effectLst/>
          </c:spPr>
          <c:invertIfNegative val="0"/>
          <c:dPt>
            <c:idx val="1"/>
            <c:invertIfNegative val="0"/>
            <c:bubble3D val="0"/>
            <c:spPr>
              <a:solidFill>
                <a:schemeClr val="dk1">
                  <a:tint val="55000"/>
                </a:schemeClr>
              </a:solidFill>
              <a:ln>
                <a:noFill/>
              </a:ln>
              <a:effectLst/>
            </c:spPr>
            <c:extLst>
              <c:ext xmlns:c16="http://schemas.microsoft.com/office/drawing/2014/chart" uri="{C3380CC4-5D6E-409C-BE32-E72D297353CC}">
                <c16:uniqueId val="{00000004-FC1E-4DBD-A3B6-EBC8E37D2C0F}"/>
              </c:ext>
            </c:extLst>
          </c:dPt>
          <c:dPt>
            <c:idx val="2"/>
            <c:invertIfNegative val="0"/>
            <c:bubble3D val="0"/>
            <c:spPr>
              <a:solidFill>
                <a:schemeClr val="dk1">
                  <a:tint val="55000"/>
                </a:schemeClr>
              </a:solidFill>
              <a:ln>
                <a:noFill/>
              </a:ln>
              <a:effectLst/>
            </c:spPr>
            <c:extLst>
              <c:ext xmlns:c16="http://schemas.microsoft.com/office/drawing/2014/chart" uri="{C3380CC4-5D6E-409C-BE32-E72D297353CC}">
                <c16:uniqueId val="{00000005-FC1E-4DBD-A3B6-EBC8E37D2C0F}"/>
              </c:ext>
            </c:extLst>
          </c:dPt>
          <c:dPt>
            <c:idx val="3"/>
            <c:invertIfNegative val="0"/>
            <c:bubble3D val="0"/>
            <c:spPr>
              <a:solidFill>
                <a:schemeClr val="dk1">
                  <a:tint val="55000"/>
                </a:schemeClr>
              </a:solidFill>
              <a:ln>
                <a:noFill/>
              </a:ln>
              <a:effectLst/>
            </c:spPr>
            <c:extLst>
              <c:ext xmlns:c16="http://schemas.microsoft.com/office/drawing/2014/chart" uri="{C3380CC4-5D6E-409C-BE32-E72D297353CC}">
                <c16:uniqueId val="{00000006-FC1E-4DBD-A3B6-EBC8E37D2C0F}"/>
              </c:ext>
            </c:extLst>
          </c:dPt>
          <c:dPt>
            <c:idx val="4"/>
            <c:invertIfNegative val="0"/>
            <c:bubble3D val="0"/>
            <c:spPr>
              <a:solidFill>
                <a:schemeClr val="dk1">
                  <a:tint val="55000"/>
                </a:schemeClr>
              </a:solidFill>
              <a:ln>
                <a:noFill/>
              </a:ln>
              <a:effectLst/>
            </c:spPr>
            <c:extLst>
              <c:ext xmlns:c16="http://schemas.microsoft.com/office/drawing/2014/chart" uri="{C3380CC4-5D6E-409C-BE32-E72D297353CC}">
                <c16:uniqueId val="{00000007-FC1E-4DBD-A3B6-EBC8E37D2C0F}"/>
              </c:ext>
            </c:extLst>
          </c:dPt>
          <c:dPt>
            <c:idx val="5"/>
            <c:invertIfNegative val="0"/>
            <c:bubble3D val="0"/>
            <c:extLst>
              <c:ext xmlns:c16="http://schemas.microsoft.com/office/drawing/2014/chart" uri="{C3380CC4-5D6E-409C-BE32-E72D297353CC}">
                <c16:uniqueId val="{00000008-FC1E-4DBD-A3B6-EBC8E37D2C0F}"/>
              </c:ext>
            </c:extLst>
          </c:dPt>
          <c:dLbls>
            <c:dLbl>
              <c:idx val="1"/>
              <c:layout>
                <c:manualLayout>
                  <c:x val="2.0011435105774727E-2"/>
                  <c:y val="-2.31481481481482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1E-4DBD-A3B6-EBC8E37D2C0F}"/>
                </c:ext>
              </c:extLst>
            </c:dLbl>
            <c:dLbl>
              <c:idx val="2"/>
              <c:layout>
                <c:manualLayout>
                  <c:x val="5.717552887364208E-3"/>
                  <c:y val="-2.31481481481482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1E-4DBD-A3B6-EBC8E37D2C0F}"/>
                </c:ext>
              </c:extLst>
            </c:dLbl>
            <c:dLbl>
              <c:idx val="3"/>
              <c:layout>
                <c:manualLayout>
                  <c:x val="1.7152658662092625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1E-4DBD-A3B6-EBC8E37D2C0F}"/>
                </c:ext>
              </c:extLst>
            </c:dLbl>
            <c:dLbl>
              <c:idx val="4"/>
              <c:layout>
                <c:manualLayout>
                  <c:x val="3.430531732418525E-2"/>
                  <c:y val="-1.697511254402665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1E-4DBD-A3B6-EBC8E37D2C0F}"/>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missing_persons!$A$4:$A$9</c:f>
              <c:strCache>
                <c:ptCount val="6"/>
                <c:pt idx="0">
                  <c:v>Syrian Civil War</c:v>
                </c:pt>
                <c:pt idx="1">
                  <c:v>Iran-Iraq War</c:v>
                </c:pt>
                <c:pt idx="2">
                  <c:v>Yemen Civil War</c:v>
                </c:pt>
                <c:pt idx="3">
                  <c:v>Iraq War OIF </c:v>
                </c:pt>
                <c:pt idx="4">
                  <c:v>Lebanese Civil War</c:v>
                </c:pt>
                <c:pt idx="5">
                  <c:v>Gaza War Al-Aqsa Flood</c:v>
                </c:pt>
              </c:strCache>
            </c:strRef>
          </c:cat>
          <c:val>
            <c:numRef>
              <c:f>missing_persons!$C$4:$C$9</c:f>
              <c:numCache>
                <c:formatCode>General</c:formatCode>
                <c:ptCount val="6"/>
                <c:pt idx="0">
                  <c:v>200000</c:v>
                </c:pt>
                <c:pt idx="1">
                  <c:v>50000</c:v>
                </c:pt>
                <c:pt idx="2">
                  <c:v>30000</c:v>
                </c:pt>
                <c:pt idx="3">
                  <c:v>8000</c:v>
                </c:pt>
                <c:pt idx="4">
                  <c:v>17000</c:v>
                </c:pt>
                <c:pt idx="5">
                  <c:v>10000</c:v>
                </c:pt>
              </c:numCache>
            </c:numRef>
          </c:val>
          <c:extLst>
            <c:ext xmlns:c16="http://schemas.microsoft.com/office/drawing/2014/chart" uri="{C3380CC4-5D6E-409C-BE32-E72D297353CC}">
              <c16:uniqueId val="{00000009-FC1E-4DBD-A3B6-EBC8E37D2C0F}"/>
            </c:ext>
          </c:extLst>
        </c:ser>
        <c:dLbls>
          <c:dLblPos val="outEnd"/>
          <c:showLegendKey val="0"/>
          <c:showVal val="1"/>
          <c:showCatName val="0"/>
          <c:showSerName val="0"/>
          <c:showPercent val="0"/>
          <c:showBubbleSize val="0"/>
        </c:dLbls>
        <c:gapWidth val="219"/>
        <c:overlap val="-27"/>
        <c:axId val="1379890816"/>
        <c:axId val="226973232"/>
      </c:barChart>
      <c:catAx>
        <c:axId val="137989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6973232"/>
        <c:crosses val="autoZero"/>
        <c:auto val="1"/>
        <c:lblAlgn val="ctr"/>
        <c:lblOffset val="100"/>
        <c:noMultiLvlLbl val="0"/>
      </c:catAx>
      <c:valAx>
        <c:axId val="226973232"/>
        <c:scaling>
          <c:orientation val="minMax"/>
        </c:scaling>
        <c:delete val="1"/>
        <c:axPos val="l"/>
        <c:numFmt formatCode="General" sourceLinked="1"/>
        <c:majorTickMark val="none"/>
        <c:minorTickMark val="none"/>
        <c:tickLblPos val="nextTo"/>
        <c:crossAx val="1379890816"/>
        <c:crosses val="autoZero"/>
        <c:crossBetween val="between"/>
      </c:valAx>
      <c:spPr>
        <a:noFill/>
        <a:ln>
          <a:noFill/>
        </a:ln>
        <a:effectLst/>
      </c:spPr>
    </c:plotArea>
    <c:legend>
      <c:legendPos val="t"/>
      <c:layout>
        <c:manualLayout>
          <c:xMode val="edge"/>
          <c:yMode val="edge"/>
          <c:x val="0.26657167425255379"/>
          <c:y val="0.13671296296296295"/>
          <c:w val="0.5697726034674481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ttps://www.goodfreephotos.com/historical-battles/world-war-i/american-troops-in-world-war-i.jpg.php" TargetMode="External"/><Relationship Id="rId5" Type="http://schemas.openxmlformats.org/officeDocument/2006/relationships/chart" Target="../charts/chart5.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15239</xdr:rowOff>
    </xdr:from>
    <xdr:to>
      <xdr:col>23</xdr:col>
      <xdr:colOff>240631</xdr:colOff>
      <xdr:row>53</xdr:row>
      <xdr:rowOff>40106</xdr:rowOff>
    </xdr:to>
    <xdr:sp macro="" textlink="">
      <xdr:nvSpPr>
        <xdr:cNvPr id="2" name="Rectangle 1">
          <a:extLst>
            <a:ext uri="{FF2B5EF4-FFF2-40B4-BE49-F238E27FC236}">
              <a16:creationId xmlns:a16="http://schemas.microsoft.com/office/drawing/2014/main" id="{9129FA43-132A-C9EA-541D-67B9A33222BC}"/>
            </a:ext>
          </a:extLst>
        </xdr:cNvPr>
        <xdr:cNvSpPr/>
      </xdr:nvSpPr>
      <xdr:spPr>
        <a:xfrm>
          <a:off x="15240" y="15239"/>
          <a:ext cx="14061707" cy="9589972"/>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0</xdr:row>
      <xdr:rowOff>38100</xdr:rowOff>
    </xdr:from>
    <xdr:to>
      <xdr:col>23</xdr:col>
      <xdr:colOff>200526</xdr:colOff>
      <xdr:row>4</xdr:row>
      <xdr:rowOff>144780</xdr:rowOff>
    </xdr:to>
    <xdr:sp macro="" textlink="">
      <xdr:nvSpPr>
        <xdr:cNvPr id="3" name="Rectangle: Rounded Corners 2">
          <a:extLst>
            <a:ext uri="{FF2B5EF4-FFF2-40B4-BE49-F238E27FC236}">
              <a16:creationId xmlns:a16="http://schemas.microsoft.com/office/drawing/2014/main" id="{62880937-4A48-F439-5CB1-1444BE9A2B2C}"/>
            </a:ext>
          </a:extLst>
        </xdr:cNvPr>
        <xdr:cNvSpPr/>
      </xdr:nvSpPr>
      <xdr:spPr>
        <a:xfrm>
          <a:off x="1530818" y="38100"/>
          <a:ext cx="12506024" cy="828575"/>
        </a:xfrm>
        <a:prstGeom prst="roundRect">
          <a:avLst/>
        </a:prstGeom>
        <a:gradFill>
          <a:gsLst>
            <a:gs pos="0">
              <a:schemeClr val="accent5">
                <a:lumMod val="60000"/>
                <a:lumOff val="40000"/>
              </a:schemeClr>
            </a:gs>
            <a:gs pos="92000">
              <a:srgbClr val="0000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38100</xdr:rowOff>
    </xdr:from>
    <xdr:to>
      <xdr:col>2</xdr:col>
      <xdr:colOff>297180</xdr:colOff>
      <xdr:row>4</xdr:row>
      <xdr:rowOff>137160</xdr:rowOff>
    </xdr:to>
    <xdr:sp macro="" textlink="">
      <xdr:nvSpPr>
        <xdr:cNvPr id="4" name="Rectangle: Rounded Corners 3">
          <a:extLst>
            <a:ext uri="{FF2B5EF4-FFF2-40B4-BE49-F238E27FC236}">
              <a16:creationId xmlns:a16="http://schemas.microsoft.com/office/drawing/2014/main" id="{D2AC30FE-D189-C46C-C07C-33CABB550545}"/>
            </a:ext>
          </a:extLst>
        </xdr:cNvPr>
        <xdr:cNvSpPr/>
      </xdr:nvSpPr>
      <xdr:spPr>
        <a:xfrm>
          <a:off x="76200" y="38100"/>
          <a:ext cx="1440180" cy="830580"/>
        </a:xfrm>
        <a:prstGeom prst="roundRect">
          <a:avLst/>
        </a:prstGeom>
        <a:gradFill>
          <a:gsLst>
            <a:gs pos="0">
              <a:schemeClr val="accent5">
                <a:lumMod val="60000"/>
                <a:lumOff val="40000"/>
              </a:schemeClr>
            </a:gs>
            <a:gs pos="92000">
              <a:srgbClr val="0000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4</xdr:row>
      <xdr:rowOff>167640</xdr:rowOff>
    </xdr:from>
    <xdr:to>
      <xdr:col>2</xdr:col>
      <xdr:colOff>297180</xdr:colOff>
      <xdr:row>52</xdr:row>
      <xdr:rowOff>118241</xdr:rowOff>
    </xdr:to>
    <xdr:sp macro="" textlink="">
      <xdr:nvSpPr>
        <xdr:cNvPr id="5" name="Rectangle: Rounded Corners 4">
          <a:extLst>
            <a:ext uri="{FF2B5EF4-FFF2-40B4-BE49-F238E27FC236}">
              <a16:creationId xmlns:a16="http://schemas.microsoft.com/office/drawing/2014/main" id="{90D38F98-EDE0-4F1C-9B59-C188EA3EA47C}"/>
            </a:ext>
          </a:extLst>
        </xdr:cNvPr>
        <xdr:cNvSpPr/>
      </xdr:nvSpPr>
      <xdr:spPr>
        <a:xfrm>
          <a:off x="76200" y="903364"/>
          <a:ext cx="1429670" cy="8779291"/>
        </a:xfrm>
        <a:prstGeom prst="roundRect">
          <a:avLst/>
        </a:prstGeom>
        <a:gradFill>
          <a:gsLst>
            <a:gs pos="0">
              <a:schemeClr val="accent5">
                <a:lumMod val="60000"/>
                <a:lumOff val="40000"/>
              </a:schemeClr>
            </a:gs>
            <a:gs pos="92000">
              <a:srgbClr val="00009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381000</xdr:colOff>
      <xdr:row>5</xdr:row>
      <xdr:rowOff>57469</xdr:rowOff>
    </xdr:from>
    <xdr:to>
      <xdr:col>23</xdr:col>
      <xdr:colOff>187621</xdr:colOff>
      <xdr:row>9</xdr:row>
      <xdr:rowOff>155349</xdr:rowOff>
    </xdr:to>
    <xdr:sp macro="" textlink="">
      <xdr:nvSpPr>
        <xdr:cNvPr id="11" name="Rectangle: Rounded Corners 10">
          <a:extLst>
            <a:ext uri="{FF2B5EF4-FFF2-40B4-BE49-F238E27FC236}">
              <a16:creationId xmlns:a16="http://schemas.microsoft.com/office/drawing/2014/main" id="{1A7BB414-ED29-4A0D-96B8-47D8C019F799}"/>
            </a:ext>
          </a:extLst>
        </xdr:cNvPr>
        <xdr:cNvSpPr/>
      </xdr:nvSpPr>
      <xdr:spPr>
        <a:xfrm>
          <a:off x="12483353" y="953940"/>
          <a:ext cx="1621974" cy="81505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361467</xdr:colOff>
      <xdr:row>10</xdr:row>
      <xdr:rowOff>18782</xdr:rowOff>
    </xdr:from>
    <xdr:to>
      <xdr:col>9</xdr:col>
      <xdr:colOff>475375</xdr:colOff>
      <xdr:row>24</xdr:row>
      <xdr:rowOff>62918</xdr:rowOff>
    </xdr:to>
    <xdr:sp macro="" textlink="">
      <xdr:nvSpPr>
        <xdr:cNvPr id="12" name="Rectangle: Rounded Corners 11">
          <a:extLst>
            <a:ext uri="{FF2B5EF4-FFF2-40B4-BE49-F238E27FC236}">
              <a16:creationId xmlns:a16="http://schemas.microsoft.com/office/drawing/2014/main" id="{C8A267FA-2823-4EB2-8D47-AFA7E0E7B442}"/>
            </a:ext>
          </a:extLst>
        </xdr:cNvPr>
        <xdr:cNvSpPr/>
      </xdr:nvSpPr>
      <xdr:spPr>
        <a:xfrm>
          <a:off x="1577871" y="1836397"/>
          <a:ext cx="4371321" cy="258879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539283</xdr:colOff>
      <xdr:row>10</xdr:row>
      <xdr:rowOff>26413</xdr:rowOff>
    </xdr:from>
    <xdr:to>
      <xdr:col>16</xdr:col>
      <xdr:colOff>258661</xdr:colOff>
      <xdr:row>24</xdr:row>
      <xdr:rowOff>27964</xdr:rowOff>
    </xdr:to>
    <xdr:sp macro="" textlink="">
      <xdr:nvSpPr>
        <xdr:cNvPr id="13" name="Rectangle: Rounded Corners 12">
          <a:extLst>
            <a:ext uri="{FF2B5EF4-FFF2-40B4-BE49-F238E27FC236}">
              <a16:creationId xmlns:a16="http://schemas.microsoft.com/office/drawing/2014/main" id="{C59E55C6-9086-4E3B-8491-0A691123C115}"/>
            </a:ext>
          </a:extLst>
        </xdr:cNvPr>
        <xdr:cNvSpPr/>
      </xdr:nvSpPr>
      <xdr:spPr>
        <a:xfrm>
          <a:off x="6013100" y="1844028"/>
          <a:ext cx="3976790" cy="2546211"/>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381465</xdr:colOff>
      <xdr:row>24</xdr:row>
      <xdr:rowOff>110799</xdr:rowOff>
    </xdr:from>
    <xdr:to>
      <xdr:col>9</xdr:col>
      <xdr:colOff>440422</xdr:colOff>
      <xdr:row>38</xdr:row>
      <xdr:rowOff>0</xdr:rowOff>
    </xdr:to>
    <xdr:sp macro="" textlink="">
      <xdr:nvSpPr>
        <xdr:cNvPr id="14" name="Rectangle: Rounded Corners 13">
          <a:extLst>
            <a:ext uri="{FF2B5EF4-FFF2-40B4-BE49-F238E27FC236}">
              <a16:creationId xmlns:a16="http://schemas.microsoft.com/office/drawing/2014/main" id="{083CBE2B-4C2F-4D67-9BB9-3C12607CAE56}"/>
            </a:ext>
          </a:extLst>
        </xdr:cNvPr>
        <xdr:cNvSpPr/>
      </xdr:nvSpPr>
      <xdr:spPr>
        <a:xfrm>
          <a:off x="1597869" y="4473074"/>
          <a:ext cx="4316370" cy="2433862"/>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528229</xdr:colOff>
      <xdr:row>10</xdr:row>
      <xdr:rowOff>61748</xdr:rowOff>
    </xdr:from>
    <xdr:to>
      <xdr:col>10</xdr:col>
      <xdr:colOff>83891</xdr:colOff>
      <xdr:row>24</xdr:row>
      <xdr:rowOff>34954</xdr:rowOff>
    </xdr:to>
    <xdr:graphicFrame macro="">
      <xdr:nvGraphicFramePr>
        <xdr:cNvPr id="16" name="Chart 15">
          <a:extLst>
            <a:ext uri="{FF2B5EF4-FFF2-40B4-BE49-F238E27FC236}">
              <a16:creationId xmlns:a16="http://schemas.microsoft.com/office/drawing/2014/main" id="{C5EC82E3-CE51-4CB2-A532-A0C972B21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595211</xdr:colOff>
      <xdr:row>10</xdr:row>
      <xdr:rowOff>19422</xdr:rowOff>
    </xdr:from>
    <xdr:to>
      <xdr:col>16</xdr:col>
      <xdr:colOff>363524</xdr:colOff>
      <xdr:row>23</xdr:row>
      <xdr:rowOff>125834</xdr:rowOff>
    </xdr:to>
    <xdr:graphicFrame macro="">
      <xdr:nvGraphicFramePr>
        <xdr:cNvPr id="18" name="Chart 17">
          <a:extLst>
            <a:ext uri="{FF2B5EF4-FFF2-40B4-BE49-F238E27FC236}">
              <a16:creationId xmlns:a16="http://schemas.microsoft.com/office/drawing/2014/main" id="{90E1F959-BFB3-481B-B8E7-7D5376307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381466</xdr:colOff>
      <xdr:row>24</xdr:row>
      <xdr:rowOff>124782</xdr:rowOff>
    </xdr:from>
    <xdr:to>
      <xdr:col>9</xdr:col>
      <xdr:colOff>426440</xdr:colOff>
      <xdr:row>38</xdr:row>
      <xdr:rowOff>118845</xdr:rowOff>
    </xdr:to>
    <xdr:graphicFrame macro="">
      <xdr:nvGraphicFramePr>
        <xdr:cNvPr id="20" name="Chart 19">
          <a:extLst>
            <a:ext uri="{FF2B5EF4-FFF2-40B4-BE49-F238E27FC236}">
              <a16:creationId xmlns:a16="http://schemas.microsoft.com/office/drawing/2014/main" id="{E981EBF6-2B4C-4FD0-AA55-999F1C3F0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512891</xdr:colOff>
      <xdr:row>24</xdr:row>
      <xdr:rowOff>74447</xdr:rowOff>
    </xdr:from>
    <xdr:to>
      <xdr:col>16</xdr:col>
      <xdr:colOff>314588</xdr:colOff>
      <xdr:row>37</xdr:row>
      <xdr:rowOff>145410</xdr:rowOff>
    </xdr:to>
    <xdr:sp macro="" textlink="">
      <xdr:nvSpPr>
        <xdr:cNvPr id="21" name="Rectangle: Rounded Corners 20">
          <a:extLst>
            <a:ext uri="{FF2B5EF4-FFF2-40B4-BE49-F238E27FC236}">
              <a16:creationId xmlns:a16="http://schemas.microsoft.com/office/drawing/2014/main" id="{95144E6C-4D53-444F-9145-A313D4757A13}"/>
            </a:ext>
          </a:extLst>
        </xdr:cNvPr>
        <xdr:cNvSpPr/>
      </xdr:nvSpPr>
      <xdr:spPr>
        <a:xfrm>
          <a:off x="5986708" y="4436722"/>
          <a:ext cx="4059109" cy="2433862"/>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449974</xdr:colOff>
      <xdr:row>24</xdr:row>
      <xdr:rowOff>62917</xdr:rowOff>
    </xdr:from>
    <xdr:to>
      <xdr:col>16</xdr:col>
      <xdr:colOff>412460</xdr:colOff>
      <xdr:row>37</xdr:row>
      <xdr:rowOff>6991</xdr:rowOff>
    </xdr:to>
    <xdr:graphicFrame macro="">
      <xdr:nvGraphicFramePr>
        <xdr:cNvPr id="23" name="Chart 22">
          <a:extLst>
            <a:ext uri="{FF2B5EF4-FFF2-40B4-BE49-F238E27FC236}">
              <a16:creationId xmlns:a16="http://schemas.microsoft.com/office/drawing/2014/main" id="{144127BC-FCBE-4980-812F-22F4B9D33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375138</xdr:colOff>
      <xdr:row>38</xdr:row>
      <xdr:rowOff>75023</xdr:rowOff>
    </xdr:from>
    <xdr:to>
      <xdr:col>9</xdr:col>
      <xdr:colOff>493691</xdr:colOff>
      <xdr:row>52</xdr:row>
      <xdr:rowOff>119047</xdr:rowOff>
    </xdr:to>
    <xdr:sp macro="" textlink="">
      <xdr:nvSpPr>
        <xdr:cNvPr id="24" name="Rectangle: Rounded Corners 23">
          <a:extLst>
            <a:ext uri="{FF2B5EF4-FFF2-40B4-BE49-F238E27FC236}">
              <a16:creationId xmlns:a16="http://schemas.microsoft.com/office/drawing/2014/main" id="{6347100E-E6D0-493B-B3C5-43366E6032A2}"/>
            </a:ext>
          </a:extLst>
        </xdr:cNvPr>
        <xdr:cNvSpPr/>
      </xdr:nvSpPr>
      <xdr:spPr>
        <a:xfrm>
          <a:off x="1594338" y="7202654"/>
          <a:ext cx="4385753" cy="2669993"/>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321343</xdr:colOff>
      <xdr:row>10</xdr:row>
      <xdr:rowOff>50677</xdr:rowOff>
    </xdr:from>
    <xdr:to>
      <xdr:col>23</xdr:col>
      <xdr:colOff>164122</xdr:colOff>
      <xdr:row>23</xdr:row>
      <xdr:rowOff>121640</xdr:rowOff>
    </xdr:to>
    <xdr:sp macro="" textlink="">
      <xdr:nvSpPr>
        <xdr:cNvPr id="25" name="Rectangle: Rounded Corners 24">
          <a:extLst>
            <a:ext uri="{FF2B5EF4-FFF2-40B4-BE49-F238E27FC236}">
              <a16:creationId xmlns:a16="http://schemas.microsoft.com/office/drawing/2014/main" id="{E6474683-3F12-4EA3-96A2-A135856C40F9}"/>
            </a:ext>
          </a:extLst>
        </xdr:cNvPr>
        <xdr:cNvSpPr/>
      </xdr:nvSpPr>
      <xdr:spPr>
        <a:xfrm>
          <a:off x="10074943" y="1926369"/>
          <a:ext cx="4109979" cy="2509363"/>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454404</xdr:colOff>
      <xdr:row>10</xdr:row>
      <xdr:rowOff>92623</xdr:rowOff>
    </xdr:from>
    <xdr:to>
      <xdr:col>23</xdr:col>
      <xdr:colOff>27965</xdr:colOff>
      <xdr:row>23</xdr:row>
      <xdr:rowOff>167781</xdr:rowOff>
    </xdr:to>
    <xdr:graphicFrame macro="">
      <xdr:nvGraphicFramePr>
        <xdr:cNvPr id="27" name="Chart 26">
          <a:extLst>
            <a:ext uri="{FF2B5EF4-FFF2-40B4-BE49-F238E27FC236}">
              <a16:creationId xmlns:a16="http://schemas.microsoft.com/office/drawing/2014/main" id="{5BC46D94-F928-4F2A-9C83-DA7B6C4EC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370279</xdr:colOff>
      <xdr:row>23</xdr:row>
      <xdr:rowOff>176511</xdr:rowOff>
    </xdr:from>
    <xdr:to>
      <xdr:col>23</xdr:col>
      <xdr:colOff>171975</xdr:colOff>
      <xdr:row>37</xdr:row>
      <xdr:rowOff>65713</xdr:rowOff>
    </xdr:to>
    <xdr:sp macro="" textlink="">
      <xdr:nvSpPr>
        <xdr:cNvPr id="29" name="Rectangle: Rounded Corners 28">
          <a:extLst>
            <a:ext uri="{FF2B5EF4-FFF2-40B4-BE49-F238E27FC236}">
              <a16:creationId xmlns:a16="http://schemas.microsoft.com/office/drawing/2014/main" id="{C6FB8213-BCF2-4BDE-9ECA-631620ABD36D}"/>
            </a:ext>
          </a:extLst>
        </xdr:cNvPr>
        <xdr:cNvSpPr/>
      </xdr:nvSpPr>
      <xdr:spPr>
        <a:xfrm>
          <a:off x="10101508" y="4357025"/>
          <a:ext cx="4059109" cy="2433862"/>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517321</xdr:colOff>
      <xdr:row>24</xdr:row>
      <xdr:rowOff>29704</xdr:rowOff>
    </xdr:from>
    <xdr:to>
      <xdr:col>23</xdr:col>
      <xdr:colOff>76899</xdr:colOff>
      <xdr:row>37</xdr:row>
      <xdr:rowOff>48936</xdr:rowOff>
    </xdr:to>
    <xdr:graphicFrame macro="">
      <xdr:nvGraphicFramePr>
        <xdr:cNvPr id="31" name="Chart 30">
          <a:extLst>
            <a:ext uri="{FF2B5EF4-FFF2-40B4-BE49-F238E27FC236}">
              <a16:creationId xmlns:a16="http://schemas.microsoft.com/office/drawing/2014/main" id="{6EC64FDA-2453-42B4-B074-A3A91335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567812</xdr:colOff>
      <xdr:row>38</xdr:row>
      <xdr:rowOff>63300</xdr:rowOff>
    </xdr:from>
    <xdr:to>
      <xdr:col>9</xdr:col>
      <xdr:colOff>397098</xdr:colOff>
      <xdr:row>52</xdr:row>
      <xdr:rowOff>139521</xdr:rowOff>
    </xdr:to>
    <xdr:graphicFrame macro="">
      <xdr:nvGraphicFramePr>
        <xdr:cNvPr id="33" name="Chart 32">
          <a:extLst>
            <a:ext uri="{FF2B5EF4-FFF2-40B4-BE49-F238E27FC236}">
              <a16:creationId xmlns:a16="http://schemas.microsoft.com/office/drawing/2014/main" id="{285EA803-DD72-4929-9C7D-4FCC70BF9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570953</xdr:colOff>
      <xdr:row>38</xdr:row>
      <xdr:rowOff>9803</xdr:rowOff>
    </xdr:from>
    <xdr:to>
      <xdr:col>16</xdr:col>
      <xdr:colOff>376625</xdr:colOff>
      <xdr:row>52</xdr:row>
      <xdr:rowOff>70556</xdr:rowOff>
    </xdr:to>
    <xdr:sp macro="" textlink="">
      <xdr:nvSpPr>
        <xdr:cNvPr id="34" name="Rectangle: Rounded Corners 33">
          <a:extLst>
            <a:ext uri="{FF2B5EF4-FFF2-40B4-BE49-F238E27FC236}">
              <a16:creationId xmlns:a16="http://schemas.microsoft.com/office/drawing/2014/main" id="{0A60C988-87A2-4F05-BED1-12446332CFCE}"/>
            </a:ext>
          </a:extLst>
        </xdr:cNvPr>
        <xdr:cNvSpPr/>
      </xdr:nvSpPr>
      <xdr:spPr>
        <a:xfrm>
          <a:off x="6031953" y="6980692"/>
          <a:ext cx="4053116" cy="2628975"/>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559229</xdr:colOff>
      <xdr:row>38</xdr:row>
      <xdr:rowOff>33250</xdr:rowOff>
    </xdr:from>
    <xdr:to>
      <xdr:col>16</xdr:col>
      <xdr:colOff>300507</xdr:colOff>
      <xdr:row>52</xdr:row>
      <xdr:rowOff>96591</xdr:rowOff>
    </xdr:to>
    <xdr:graphicFrame macro="">
      <xdr:nvGraphicFramePr>
        <xdr:cNvPr id="36" name="Chart 35">
          <a:extLst>
            <a:ext uri="{FF2B5EF4-FFF2-40B4-BE49-F238E27FC236}">
              <a16:creationId xmlns:a16="http://schemas.microsoft.com/office/drawing/2014/main" id="{B8B98722-B07C-4228-B0B6-1FA58484E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432588</xdr:colOff>
      <xdr:row>37</xdr:row>
      <xdr:rowOff>121256</xdr:rowOff>
    </xdr:from>
    <xdr:to>
      <xdr:col>23</xdr:col>
      <xdr:colOff>171719</xdr:colOff>
      <xdr:row>52</xdr:row>
      <xdr:rowOff>56445</xdr:rowOff>
    </xdr:to>
    <xdr:sp macro="" textlink="">
      <xdr:nvSpPr>
        <xdr:cNvPr id="37" name="Rectangle: Rounded Corners 36">
          <a:extLst>
            <a:ext uri="{FF2B5EF4-FFF2-40B4-BE49-F238E27FC236}">
              <a16:creationId xmlns:a16="http://schemas.microsoft.com/office/drawing/2014/main" id="{0DF940C0-C563-4125-B9B9-3716510521E5}"/>
            </a:ext>
          </a:extLst>
        </xdr:cNvPr>
        <xdr:cNvSpPr/>
      </xdr:nvSpPr>
      <xdr:spPr>
        <a:xfrm>
          <a:off x="10141032" y="6908700"/>
          <a:ext cx="3986576" cy="268685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432588</xdr:colOff>
      <xdr:row>37</xdr:row>
      <xdr:rowOff>121256</xdr:rowOff>
    </xdr:from>
    <xdr:to>
      <xdr:col>23</xdr:col>
      <xdr:colOff>364901</xdr:colOff>
      <xdr:row>51</xdr:row>
      <xdr:rowOff>139521</xdr:rowOff>
    </xdr:to>
    <xdr:graphicFrame macro="">
      <xdr:nvGraphicFramePr>
        <xdr:cNvPr id="39" name="Chart 38">
          <a:extLst>
            <a:ext uri="{FF2B5EF4-FFF2-40B4-BE49-F238E27FC236}">
              <a16:creationId xmlns:a16="http://schemas.microsoft.com/office/drawing/2014/main" id="{372BDC5C-F898-4F0D-9133-F3B23B6F7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443753</xdr:colOff>
      <xdr:row>5</xdr:row>
      <xdr:rowOff>64193</xdr:rowOff>
    </xdr:from>
    <xdr:to>
      <xdr:col>20</xdr:col>
      <xdr:colOff>250374</xdr:colOff>
      <xdr:row>9</xdr:row>
      <xdr:rowOff>162073</xdr:rowOff>
    </xdr:to>
    <xdr:sp macro="" textlink="">
      <xdr:nvSpPr>
        <xdr:cNvPr id="15" name="Rectangle: Rounded Corners 14">
          <a:extLst>
            <a:ext uri="{FF2B5EF4-FFF2-40B4-BE49-F238E27FC236}">
              <a16:creationId xmlns:a16="http://schemas.microsoft.com/office/drawing/2014/main" id="{E72FCEC7-2AEE-4EDB-8A57-82FA831F719A}"/>
            </a:ext>
          </a:extLst>
        </xdr:cNvPr>
        <xdr:cNvSpPr/>
      </xdr:nvSpPr>
      <xdr:spPr>
        <a:xfrm>
          <a:off x="10730753" y="960664"/>
          <a:ext cx="1621974" cy="81505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495300</xdr:colOff>
      <xdr:row>5</xdr:row>
      <xdr:rowOff>48504</xdr:rowOff>
    </xdr:from>
    <xdr:to>
      <xdr:col>17</xdr:col>
      <xdr:colOff>301921</xdr:colOff>
      <xdr:row>9</xdr:row>
      <xdr:rowOff>146384</xdr:rowOff>
    </xdr:to>
    <xdr:sp macro="" textlink="">
      <xdr:nvSpPr>
        <xdr:cNvPr id="17" name="Rectangle: Rounded Corners 16">
          <a:extLst>
            <a:ext uri="{FF2B5EF4-FFF2-40B4-BE49-F238E27FC236}">
              <a16:creationId xmlns:a16="http://schemas.microsoft.com/office/drawing/2014/main" id="{BC02EBB3-7910-49A6-8DD9-613EA6693AE0}"/>
            </a:ext>
          </a:extLst>
        </xdr:cNvPr>
        <xdr:cNvSpPr/>
      </xdr:nvSpPr>
      <xdr:spPr>
        <a:xfrm>
          <a:off x="8966947" y="944975"/>
          <a:ext cx="1621974" cy="81505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558570</xdr:colOff>
      <xdr:row>5</xdr:row>
      <xdr:rowOff>33333</xdr:rowOff>
    </xdr:from>
    <xdr:to>
      <xdr:col>14</xdr:col>
      <xdr:colOff>365191</xdr:colOff>
      <xdr:row>9</xdr:row>
      <xdr:rowOff>131213</xdr:rowOff>
    </xdr:to>
    <xdr:sp macro="" textlink="">
      <xdr:nvSpPr>
        <xdr:cNvPr id="22" name="Rectangle: Rounded Corners 21">
          <a:extLst>
            <a:ext uri="{FF2B5EF4-FFF2-40B4-BE49-F238E27FC236}">
              <a16:creationId xmlns:a16="http://schemas.microsoft.com/office/drawing/2014/main" id="{52CC2BC8-D1BE-434E-9988-09B457EEDA6B}"/>
            </a:ext>
          </a:extLst>
        </xdr:cNvPr>
        <xdr:cNvSpPr/>
      </xdr:nvSpPr>
      <xdr:spPr>
        <a:xfrm>
          <a:off x="7264170" y="971179"/>
          <a:ext cx="1635421" cy="848157"/>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5</xdr:row>
      <xdr:rowOff>47728</xdr:rowOff>
    </xdr:from>
    <xdr:to>
      <xdr:col>11</xdr:col>
      <xdr:colOff>411739</xdr:colOff>
      <xdr:row>9</xdr:row>
      <xdr:rowOff>145608</xdr:rowOff>
    </xdr:to>
    <xdr:sp macro="" textlink="">
      <xdr:nvSpPr>
        <xdr:cNvPr id="26" name="Rectangle: Rounded Corners 25">
          <a:extLst>
            <a:ext uri="{FF2B5EF4-FFF2-40B4-BE49-F238E27FC236}">
              <a16:creationId xmlns:a16="http://schemas.microsoft.com/office/drawing/2014/main" id="{8680B10C-63BA-4373-B9B8-DD8C784D2090}"/>
            </a:ext>
          </a:extLst>
        </xdr:cNvPr>
        <xdr:cNvSpPr/>
      </xdr:nvSpPr>
      <xdr:spPr>
        <a:xfrm>
          <a:off x="5486400" y="944199"/>
          <a:ext cx="1630939" cy="81505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40341</xdr:colOff>
      <xdr:row>5</xdr:row>
      <xdr:rowOff>40340</xdr:rowOff>
    </xdr:from>
    <xdr:to>
      <xdr:col>8</xdr:col>
      <xdr:colOff>452080</xdr:colOff>
      <xdr:row>9</xdr:row>
      <xdr:rowOff>138220</xdr:rowOff>
    </xdr:to>
    <xdr:sp macro="" textlink="">
      <xdr:nvSpPr>
        <xdr:cNvPr id="28" name="Rectangle: Rounded Corners 27">
          <a:extLst>
            <a:ext uri="{FF2B5EF4-FFF2-40B4-BE49-F238E27FC236}">
              <a16:creationId xmlns:a16="http://schemas.microsoft.com/office/drawing/2014/main" id="{39039E07-E3A4-44A2-A822-B3E1E1D5E1C4}"/>
            </a:ext>
          </a:extLst>
        </xdr:cNvPr>
        <xdr:cNvSpPr/>
      </xdr:nvSpPr>
      <xdr:spPr>
        <a:xfrm>
          <a:off x="3671047" y="936811"/>
          <a:ext cx="1621974" cy="81505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437030</xdr:colOff>
      <xdr:row>5</xdr:row>
      <xdr:rowOff>58269</xdr:rowOff>
    </xdr:from>
    <xdr:to>
      <xdr:col>5</xdr:col>
      <xdr:colOff>492421</xdr:colOff>
      <xdr:row>9</xdr:row>
      <xdr:rowOff>156149</xdr:rowOff>
    </xdr:to>
    <xdr:sp macro="" textlink="">
      <xdr:nvSpPr>
        <xdr:cNvPr id="30" name="Rectangle: Rounded Corners 29">
          <a:extLst>
            <a:ext uri="{FF2B5EF4-FFF2-40B4-BE49-F238E27FC236}">
              <a16:creationId xmlns:a16="http://schemas.microsoft.com/office/drawing/2014/main" id="{1129ACF1-103B-4698-9420-093358C2F119}"/>
            </a:ext>
          </a:extLst>
        </xdr:cNvPr>
        <xdr:cNvSpPr/>
      </xdr:nvSpPr>
      <xdr:spPr>
        <a:xfrm>
          <a:off x="1647265" y="954740"/>
          <a:ext cx="1870744" cy="815056"/>
        </a:xfrm>
        <a:prstGeom prst="roundRect">
          <a:avLst/>
        </a:prstGeom>
        <a:gradFill>
          <a:gsLst>
            <a:gs pos="0">
              <a:schemeClr val="accent1">
                <a:lumMod val="5000"/>
                <a:lumOff val="95000"/>
              </a:schemeClr>
            </a:gs>
            <a:gs pos="84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34084</xdr:colOff>
      <xdr:row>0</xdr:row>
      <xdr:rowOff>7938</xdr:rowOff>
    </xdr:from>
    <xdr:to>
      <xdr:col>2</xdr:col>
      <xdr:colOff>341312</xdr:colOff>
      <xdr:row>5</xdr:row>
      <xdr:rowOff>7196</xdr:rowOff>
    </xdr:to>
    <xdr:pic>
      <xdr:nvPicPr>
        <xdr:cNvPr id="35" name="Picture 34">
          <a:extLst>
            <a:ext uri="{FF2B5EF4-FFF2-40B4-BE49-F238E27FC236}">
              <a16:creationId xmlns:a16="http://schemas.microsoft.com/office/drawing/2014/main" id="{EBDFD69A-90E5-A144-6DA4-84C434096D6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34084" y="7938"/>
          <a:ext cx="1529603" cy="912071"/>
        </a:xfrm>
        <a:prstGeom prst="rect">
          <a:avLst/>
        </a:prstGeom>
        <a:ln>
          <a:noFill/>
        </a:ln>
        <a:effectLst>
          <a:softEdge rad="112500"/>
        </a:effectLst>
      </xdr:spPr>
    </xdr:pic>
    <xdr:clientData/>
  </xdr:twoCellAnchor>
  <xdr:twoCellAnchor editAs="oneCell">
    <xdr:from>
      <xdr:col>2</xdr:col>
      <xdr:colOff>398584</xdr:colOff>
      <xdr:row>0</xdr:row>
      <xdr:rowOff>35168</xdr:rowOff>
    </xdr:from>
    <xdr:to>
      <xdr:col>4</xdr:col>
      <xdr:colOff>539262</xdr:colOff>
      <xdr:row>5</xdr:row>
      <xdr:rowOff>11722</xdr:rowOff>
    </xdr:to>
    <xdr:pic>
      <xdr:nvPicPr>
        <xdr:cNvPr id="44" name="Graphic 43" descr="Bar chart with solid fill">
          <a:extLst>
            <a:ext uri="{FF2B5EF4-FFF2-40B4-BE49-F238E27FC236}">
              <a16:creationId xmlns:a16="http://schemas.microsoft.com/office/drawing/2014/main" id="{95F1AF7A-6F48-303A-5F6C-0DC8824D2BA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17784" y="35168"/>
          <a:ext cx="1359878" cy="914400"/>
        </a:xfrm>
        <a:prstGeom prst="rect">
          <a:avLst/>
        </a:prstGeom>
      </xdr:spPr>
    </xdr:pic>
    <xdr:clientData/>
  </xdr:twoCellAnchor>
  <xdr:twoCellAnchor editAs="oneCell">
    <xdr:from>
      <xdr:col>21</xdr:col>
      <xdr:colOff>35169</xdr:colOff>
      <xdr:row>0</xdr:row>
      <xdr:rowOff>15825</xdr:rowOff>
    </xdr:from>
    <xdr:to>
      <xdr:col>23</xdr:col>
      <xdr:colOff>175847</xdr:colOff>
      <xdr:row>5</xdr:row>
      <xdr:rowOff>653</xdr:rowOff>
    </xdr:to>
    <xdr:pic>
      <xdr:nvPicPr>
        <xdr:cNvPr id="46" name="Graphic 45" descr="Bar chart with solid fill">
          <a:extLst>
            <a:ext uri="{FF2B5EF4-FFF2-40B4-BE49-F238E27FC236}">
              <a16:creationId xmlns:a16="http://schemas.microsoft.com/office/drawing/2014/main" id="{9980DCAF-84C0-421C-9AA1-CC0855EC3AB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flipH="1">
          <a:off x="12836769" y="15825"/>
          <a:ext cx="1359878" cy="914400"/>
        </a:xfrm>
        <a:prstGeom prst="rect">
          <a:avLst/>
        </a:prstGeom>
      </xdr:spPr>
    </xdr:pic>
    <xdr:clientData/>
  </xdr:twoCellAnchor>
  <xdr:twoCellAnchor>
    <xdr:from>
      <xdr:col>5</xdr:col>
      <xdr:colOff>1</xdr:colOff>
      <xdr:row>0</xdr:row>
      <xdr:rowOff>137809</xdr:rowOff>
    </xdr:from>
    <xdr:to>
      <xdr:col>21</xdr:col>
      <xdr:colOff>181429</xdr:colOff>
      <xdr:row>4</xdr:row>
      <xdr:rowOff>40532</xdr:rowOff>
    </xdr:to>
    <xdr:sp macro="" textlink="">
      <xdr:nvSpPr>
        <xdr:cNvPr id="52" name="TextBox 51">
          <a:extLst>
            <a:ext uri="{FF2B5EF4-FFF2-40B4-BE49-F238E27FC236}">
              <a16:creationId xmlns:a16="http://schemas.microsoft.com/office/drawing/2014/main" id="{36E26A75-2774-49AB-0CDB-743A7B1AD456}"/>
            </a:ext>
          </a:extLst>
        </xdr:cNvPr>
        <xdr:cNvSpPr txBox="1"/>
      </xdr:nvSpPr>
      <xdr:spPr>
        <a:xfrm>
          <a:off x="3023811" y="137809"/>
          <a:ext cx="9857618" cy="6284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GLOBAL WAR CONFLICT ANALYSIS DASHBOARD</a:t>
          </a:r>
        </a:p>
      </xdr:txBody>
    </xdr:sp>
    <xdr:clientData/>
  </xdr:twoCellAnchor>
  <xdr:twoCellAnchor>
    <xdr:from>
      <xdr:col>3</xdr:col>
      <xdr:colOff>107577</xdr:colOff>
      <xdr:row>5</xdr:row>
      <xdr:rowOff>80681</xdr:rowOff>
    </xdr:from>
    <xdr:to>
      <xdr:col>5</xdr:col>
      <xdr:colOff>259977</xdr:colOff>
      <xdr:row>6</xdr:row>
      <xdr:rowOff>179293</xdr:rowOff>
    </xdr:to>
    <xdr:sp macro="" textlink="">
      <xdr:nvSpPr>
        <xdr:cNvPr id="6" name="TextBox 5">
          <a:extLst>
            <a:ext uri="{FF2B5EF4-FFF2-40B4-BE49-F238E27FC236}">
              <a16:creationId xmlns:a16="http://schemas.microsoft.com/office/drawing/2014/main" id="{E6294DFF-1187-30B6-0E16-4D1595AE7198}"/>
            </a:ext>
          </a:extLst>
        </xdr:cNvPr>
        <xdr:cNvSpPr txBox="1"/>
      </xdr:nvSpPr>
      <xdr:spPr>
        <a:xfrm>
          <a:off x="1936377" y="977152"/>
          <a:ext cx="1371600" cy="2779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Conflict</a:t>
          </a:r>
          <a:endParaRPr lang="en-IN" sz="1600" b="1"/>
        </a:p>
      </xdr:txBody>
    </xdr:sp>
    <xdr:clientData/>
  </xdr:twoCellAnchor>
  <xdr:twoCellAnchor>
    <xdr:from>
      <xdr:col>6</xdr:col>
      <xdr:colOff>233083</xdr:colOff>
      <xdr:row>5</xdr:row>
      <xdr:rowOff>53787</xdr:rowOff>
    </xdr:from>
    <xdr:to>
      <xdr:col>8</xdr:col>
      <xdr:colOff>439271</xdr:colOff>
      <xdr:row>6</xdr:row>
      <xdr:rowOff>116540</xdr:rowOff>
    </xdr:to>
    <xdr:sp macro="" textlink="">
      <xdr:nvSpPr>
        <xdr:cNvPr id="7" name="TextBox 6">
          <a:extLst>
            <a:ext uri="{FF2B5EF4-FFF2-40B4-BE49-F238E27FC236}">
              <a16:creationId xmlns:a16="http://schemas.microsoft.com/office/drawing/2014/main" id="{EBAAA865-1A26-EC3B-CF23-51FD667D2667}"/>
            </a:ext>
          </a:extLst>
        </xdr:cNvPr>
        <xdr:cNvSpPr txBox="1"/>
      </xdr:nvSpPr>
      <xdr:spPr>
        <a:xfrm>
          <a:off x="3890683" y="950258"/>
          <a:ext cx="1425388" cy="2420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Deaths</a:t>
          </a:r>
        </a:p>
      </xdr:txBody>
    </xdr:sp>
    <xdr:clientData/>
  </xdr:twoCellAnchor>
  <xdr:twoCellAnchor>
    <xdr:from>
      <xdr:col>9</xdr:col>
      <xdr:colOff>188257</xdr:colOff>
      <xdr:row>5</xdr:row>
      <xdr:rowOff>35858</xdr:rowOff>
    </xdr:from>
    <xdr:to>
      <xdr:col>11</xdr:col>
      <xdr:colOff>394446</xdr:colOff>
      <xdr:row>6</xdr:row>
      <xdr:rowOff>116540</xdr:rowOff>
    </xdr:to>
    <xdr:sp macro="" textlink="">
      <xdr:nvSpPr>
        <xdr:cNvPr id="8" name="TextBox 7">
          <a:extLst>
            <a:ext uri="{FF2B5EF4-FFF2-40B4-BE49-F238E27FC236}">
              <a16:creationId xmlns:a16="http://schemas.microsoft.com/office/drawing/2014/main" id="{E3ED8D50-6C76-C7EB-89D4-170B54F4A877}"/>
            </a:ext>
          </a:extLst>
        </xdr:cNvPr>
        <xdr:cNvSpPr txBox="1"/>
      </xdr:nvSpPr>
      <xdr:spPr>
        <a:xfrm>
          <a:off x="5674657" y="932329"/>
          <a:ext cx="1425389" cy="2599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Civilian Killed</a:t>
          </a:r>
        </a:p>
      </xdr:txBody>
    </xdr:sp>
    <xdr:clientData/>
  </xdr:twoCellAnchor>
  <xdr:twoCellAnchor>
    <xdr:from>
      <xdr:col>12</xdr:col>
      <xdr:colOff>297665</xdr:colOff>
      <xdr:row>5</xdr:row>
      <xdr:rowOff>25063</xdr:rowOff>
    </xdr:from>
    <xdr:to>
      <xdr:col>14</xdr:col>
      <xdr:colOff>405241</xdr:colOff>
      <xdr:row>7</xdr:row>
      <xdr:rowOff>34028</xdr:rowOff>
    </xdr:to>
    <xdr:sp macro="" textlink="">
      <xdr:nvSpPr>
        <xdr:cNvPr id="9" name="TextBox 8">
          <a:extLst>
            <a:ext uri="{FF2B5EF4-FFF2-40B4-BE49-F238E27FC236}">
              <a16:creationId xmlns:a16="http://schemas.microsoft.com/office/drawing/2014/main" id="{105B43D5-014B-C48B-2FBF-60A34434D4BF}"/>
            </a:ext>
          </a:extLst>
        </xdr:cNvPr>
        <xdr:cNvSpPr txBox="1"/>
      </xdr:nvSpPr>
      <xdr:spPr>
        <a:xfrm>
          <a:off x="7575543" y="958124"/>
          <a:ext cx="1320555" cy="3821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Wounded</a:t>
          </a:r>
        </a:p>
      </xdr:txBody>
    </xdr:sp>
    <xdr:clientData/>
  </xdr:twoCellAnchor>
  <xdr:twoCellAnchor>
    <xdr:from>
      <xdr:col>15</xdr:col>
      <xdr:colOff>179295</xdr:colOff>
      <xdr:row>5</xdr:row>
      <xdr:rowOff>35858</xdr:rowOff>
    </xdr:from>
    <xdr:to>
      <xdr:col>17</xdr:col>
      <xdr:colOff>412377</xdr:colOff>
      <xdr:row>6</xdr:row>
      <xdr:rowOff>161364</xdr:rowOff>
    </xdr:to>
    <xdr:sp macro="" textlink="">
      <xdr:nvSpPr>
        <xdr:cNvPr id="10" name="TextBox 9">
          <a:extLst>
            <a:ext uri="{FF2B5EF4-FFF2-40B4-BE49-F238E27FC236}">
              <a16:creationId xmlns:a16="http://schemas.microsoft.com/office/drawing/2014/main" id="{9238C884-6D46-ACD5-1568-BDA753C90884}"/>
            </a:ext>
          </a:extLst>
        </xdr:cNvPr>
        <xdr:cNvSpPr txBox="1"/>
      </xdr:nvSpPr>
      <xdr:spPr>
        <a:xfrm>
          <a:off x="9323295" y="932329"/>
          <a:ext cx="1452282" cy="3048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Displaced</a:t>
          </a:r>
        </a:p>
      </xdr:txBody>
    </xdr:sp>
    <xdr:clientData/>
  </xdr:twoCellAnchor>
  <xdr:twoCellAnchor>
    <xdr:from>
      <xdr:col>3</xdr:col>
      <xdr:colOff>497632</xdr:colOff>
      <xdr:row>6</xdr:row>
      <xdr:rowOff>139960</xdr:rowOff>
    </xdr:from>
    <xdr:to>
      <xdr:col>6</xdr:col>
      <xdr:colOff>217713</xdr:colOff>
      <xdr:row>9</xdr:row>
      <xdr:rowOff>77754</xdr:rowOff>
    </xdr:to>
    <xdr:sp macro="" textlink="">
      <xdr:nvSpPr>
        <xdr:cNvPr id="19" name="TextBox 18">
          <a:extLst>
            <a:ext uri="{FF2B5EF4-FFF2-40B4-BE49-F238E27FC236}">
              <a16:creationId xmlns:a16="http://schemas.microsoft.com/office/drawing/2014/main" id="{A1C1C8F9-AEFD-B4B0-DA76-E121ACBEAB1C}"/>
            </a:ext>
          </a:extLst>
        </xdr:cNvPr>
        <xdr:cNvSpPr txBox="1"/>
      </xdr:nvSpPr>
      <xdr:spPr>
        <a:xfrm>
          <a:off x="2317101" y="1259633"/>
          <a:ext cx="1539551" cy="49763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mn-lt"/>
              <a:ea typeface="+mn-ea"/>
              <a:cs typeface="+mn-cs"/>
            </a:rPr>
            <a:t>27</a:t>
          </a:r>
          <a:r>
            <a:rPr lang="en-IN" sz="2800" b="1">
              <a:effectLst/>
            </a:rPr>
            <a:t> </a:t>
          </a:r>
          <a:endParaRPr lang="en-IN" sz="2800" b="1"/>
        </a:p>
      </xdr:txBody>
    </xdr:sp>
    <xdr:clientData/>
  </xdr:twoCellAnchor>
  <xdr:twoCellAnchor>
    <xdr:from>
      <xdr:col>6</xdr:col>
      <xdr:colOff>6370</xdr:colOff>
      <xdr:row>6</xdr:row>
      <xdr:rowOff>146547</xdr:rowOff>
    </xdr:from>
    <xdr:to>
      <xdr:col>9</xdr:col>
      <xdr:colOff>41563</xdr:colOff>
      <xdr:row>9</xdr:row>
      <xdr:rowOff>13854</xdr:rowOff>
    </xdr:to>
    <xdr:sp macro="" textlink="">
      <xdr:nvSpPr>
        <xdr:cNvPr id="32" name="TextBox 31">
          <a:extLst>
            <a:ext uri="{FF2B5EF4-FFF2-40B4-BE49-F238E27FC236}">
              <a16:creationId xmlns:a16="http://schemas.microsoft.com/office/drawing/2014/main" id="{44EC68A8-B098-4D4C-748B-BA21BB2CA9AC}"/>
            </a:ext>
          </a:extLst>
        </xdr:cNvPr>
        <xdr:cNvSpPr txBox="1"/>
      </xdr:nvSpPr>
      <xdr:spPr>
        <a:xfrm>
          <a:off x="3663970" y="1227202"/>
          <a:ext cx="1863993" cy="40763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i="0" u="none" strike="noStrike">
              <a:solidFill>
                <a:schemeClr val="dk1"/>
              </a:solidFill>
              <a:effectLst/>
              <a:latin typeface="+mn-lt"/>
              <a:ea typeface="+mn-ea"/>
              <a:cs typeface="+mn-cs"/>
            </a:rPr>
            <a:t>13,54,00,000</a:t>
          </a:r>
          <a:r>
            <a:rPr lang="en-IN" sz="2200">
              <a:effectLst/>
            </a:rPr>
            <a:t> </a:t>
          </a:r>
          <a:endParaRPr lang="en-IN" sz="2200"/>
        </a:p>
      </xdr:txBody>
    </xdr:sp>
    <xdr:clientData/>
  </xdr:twoCellAnchor>
  <xdr:twoCellAnchor>
    <xdr:from>
      <xdr:col>9</xdr:col>
      <xdr:colOff>250512</xdr:colOff>
      <xdr:row>6</xdr:row>
      <xdr:rowOff>167668</xdr:rowOff>
    </xdr:from>
    <xdr:to>
      <xdr:col>11</xdr:col>
      <xdr:colOff>415636</xdr:colOff>
      <xdr:row>9</xdr:row>
      <xdr:rowOff>41563</xdr:rowOff>
    </xdr:to>
    <xdr:sp macro="" textlink="">
      <xdr:nvSpPr>
        <xdr:cNvPr id="38" name="TextBox 37">
          <a:extLst>
            <a:ext uri="{FF2B5EF4-FFF2-40B4-BE49-F238E27FC236}">
              <a16:creationId xmlns:a16="http://schemas.microsoft.com/office/drawing/2014/main" id="{877AA4EC-B6F6-93C7-B76A-732774E55C8C}"/>
            </a:ext>
          </a:extLst>
        </xdr:cNvPr>
        <xdr:cNvSpPr txBox="1"/>
      </xdr:nvSpPr>
      <xdr:spPr>
        <a:xfrm>
          <a:off x="5736912" y="1248323"/>
          <a:ext cx="1384324" cy="41422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i="0" u="none" strike="noStrike">
              <a:solidFill>
                <a:schemeClr val="dk1"/>
              </a:solidFill>
              <a:effectLst/>
              <a:latin typeface="+mn-lt"/>
              <a:ea typeface="+mn-ea"/>
              <a:cs typeface="+mn-cs"/>
            </a:rPr>
            <a:t>8,87,115</a:t>
          </a:r>
          <a:r>
            <a:rPr lang="en-IN" sz="2400">
              <a:effectLst/>
            </a:rPr>
            <a:t>   </a:t>
          </a:r>
          <a:endParaRPr lang="en-IN" sz="2400"/>
        </a:p>
      </xdr:txBody>
    </xdr:sp>
    <xdr:clientData/>
  </xdr:twoCellAnchor>
  <xdr:twoCellAnchor>
    <xdr:from>
      <xdr:col>12</xdr:col>
      <xdr:colOff>117338</xdr:colOff>
      <xdr:row>6</xdr:row>
      <xdr:rowOff>150422</xdr:rowOff>
    </xdr:from>
    <xdr:to>
      <xdr:col>14</xdr:col>
      <xdr:colOff>526472</xdr:colOff>
      <xdr:row>9</xdr:row>
      <xdr:rowOff>57114</xdr:rowOff>
    </xdr:to>
    <xdr:sp macro="" textlink="">
      <xdr:nvSpPr>
        <xdr:cNvPr id="40" name="TextBox 39">
          <a:extLst>
            <a:ext uri="{FF2B5EF4-FFF2-40B4-BE49-F238E27FC236}">
              <a16:creationId xmlns:a16="http://schemas.microsoft.com/office/drawing/2014/main" id="{A78CE588-0873-2E1B-6B18-8546DCA9C35C}"/>
            </a:ext>
          </a:extLst>
        </xdr:cNvPr>
        <xdr:cNvSpPr txBox="1"/>
      </xdr:nvSpPr>
      <xdr:spPr>
        <a:xfrm>
          <a:off x="7432538" y="1231077"/>
          <a:ext cx="1628334" cy="44701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i="0" u="none" strike="noStrike">
              <a:solidFill>
                <a:schemeClr val="dk1"/>
              </a:solidFill>
              <a:effectLst/>
              <a:latin typeface="+mn-lt"/>
              <a:ea typeface="+mn-ea"/>
              <a:cs typeface="+mn-cs"/>
            </a:rPr>
            <a:t>39,28,900</a:t>
          </a:r>
          <a:r>
            <a:rPr lang="en-IN" sz="2200">
              <a:effectLst/>
            </a:rPr>
            <a:t> </a:t>
          </a:r>
          <a:endParaRPr lang="en-IN" sz="2200"/>
        </a:p>
      </xdr:txBody>
    </xdr:sp>
    <xdr:clientData/>
  </xdr:twoCellAnchor>
  <xdr:twoCellAnchor>
    <xdr:from>
      <xdr:col>14</xdr:col>
      <xdr:colOff>560967</xdr:colOff>
      <xdr:row>6</xdr:row>
      <xdr:rowOff>138264</xdr:rowOff>
    </xdr:from>
    <xdr:to>
      <xdr:col>17</xdr:col>
      <xdr:colOff>429490</xdr:colOff>
      <xdr:row>9</xdr:row>
      <xdr:rowOff>44957</xdr:rowOff>
    </xdr:to>
    <xdr:sp macro="" textlink="">
      <xdr:nvSpPr>
        <xdr:cNvPr id="41" name="TextBox 40">
          <a:extLst>
            <a:ext uri="{FF2B5EF4-FFF2-40B4-BE49-F238E27FC236}">
              <a16:creationId xmlns:a16="http://schemas.microsoft.com/office/drawing/2014/main" id="{76AB6C32-F1F7-CE3E-DB77-6A5C24710245}"/>
            </a:ext>
          </a:extLst>
        </xdr:cNvPr>
        <xdr:cNvSpPr txBox="1"/>
      </xdr:nvSpPr>
      <xdr:spPr>
        <a:xfrm>
          <a:off x="9095367" y="1218919"/>
          <a:ext cx="1697323" cy="4470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i="0" u="none" strike="noStrike">
              <a:solidFill>
                <a:schemeClr val="dk1"/>
              </a:solidFill>
              <a:effectLst/>
              <a:latin typeface="+mn-lt"/>
              <a:ea typeface="+mn-ea"/>
              <a:cs typeface="+mn-cs"/>
            </a:rPr>
            <a:t>5,16,30,000</a:t>
          </a:r>
          <a:r>
            <a:rPr lang="en-IN" sz="2400">
              <a:effectLst/>
            </a:rPr>
            <a:t> </a:t>
          </a:r>
          <a:endParaRPr lang="en-IN" sz="2400"/>
        </a:p>
      </xdr:txBody>
    </xdr:sp>
    <xdr:clientData/>
  </xdr:twoCellAnchor>
  <xdr:twoCellAnchor>
    <xdr:from>
      <xdr:col>17</xdr:col>
      <xdr:colOff>564776</xdr:colOff>
      <xdr:row>5</xdr:row>
      <xdr:rowOff>53787</xdr:rowOff>
    </xdr:from>
    <xdr:to>
      <xdr:col>20</xdr:col>
      <xdr:colOff>268941</xdr:colOff>
      <xdr:row>7</xdr:row>
      <xdr:rowOff>71716</xdr:rowOff>
    </xdr:to>
    <xdr:sp macro="" textlink="">
      <xdr:nvSpPr>
        <xdr:cNvPr id="42" name="TextBox 41">
          <a:extLst>
            <a:ext uri="{FF2B5EF4-FFF2-40B4-BE49-F238E27FC236}">
              <a16:creationId xmlns:a16="http://schemas.microsoft.com/office/drawing/2014/main" id="{6B217702-D5A3-B38B-648F-464249D1793B}"/>
            </a:ext>
          </a:extLst>
        </xdr:cNvPr>
        <xdr:cNvSpPr txBox="1"/>
      </xdr:nvSpPr>
      <xdr:spPr>
        <a:xfrm>
          <a:off x="10927976" y="950258"/>
          <a:ext cx="1532965" cy="37651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Refugees</a:t>
          </a:r>
        </a:p>
      </xdr:txBody>
    </xdr:sp>
    <xdr:clientData/>
  </xdr:twoCellAnchor>
  <xdr:twoCellAnchor>
    <xdr:from>
      <xdr:col>17</xdr:col>
      <xdr:colOff>512619</xdr:colOff>
      <xdr:row>6</xdr:row>
      <xdr:rowOff>134469</xdr:rowOff>
    </xdr:from>
    <xdr:to>
      <xdr:col>20</xdr:col>
      <xdr:colOff>391187</xdr:colOff>
      <xdr:row>9</xdr:row>
      <xdr:rowOff>96982</xdr:rowOff>
    </xdr:to>
    <xdr:sp macro="" textlink="">
      <xdr:nvSpPr>
        <xdr:cNvPr id="43" name="TextBox 42">
          <a:extLst>
            <a:ext uri="{FF2B5EF4-FFF2-40B4-BE49-F238E27FC236}">
              <a16:creationId xmlns:a16="http://schemas.microsoft.com/office/drawing/2014/main" id="{7293242A-44FF-BC2B-65A0-7A5B26DB02E3}"/>
            </a:ext>
          </a:extLst>
        </xdr:cNvPr>
        <xdr:cNvSpPr txBox="1"/>
      </xdr:nvSpPr>
      <xdr:spPr>
        <a:xfrm>
          <a:off x="10875819" y="1215124"/>
          <a:ext cx="1707368" cy="5028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i="0" u="none" strike="noStrike">
              <a:solidFill>
                <a:schemeClr val="dk1"/>
              </a:solidFill>
              <a:effectLst/>
              <a:latin typeface="+mn-lt"/>
              <a:ea typeface="+mn-ea"/>
              <a:cs typeface="+mn-cs"/>
            </a:rPr>
            <a:t>2,08,50,000</a:t>
          </a:r>
          <a:r>
            <a:rPr lang="en-IN" sz="2400" b="1">
              <a:effectLst/>
            </a:rPr>
            <a:t> </a:t>
          </a:r>
          <a:endParaRPr lang="en-IN" sz="2400" b="1"/>
        </a:p>
      </xdr:txBody>
    </xdr:sp>
    <xdr:clientData/>
  </xdr:twoCellAnchor>
  <xdr:twoCellAnchor>
    <xdr:from>
      <xdr:col>21</xdr:col>
      <xdr:colOff>8965</xdr:colOff>
      <xdr:row>5</xdr:row>
      <xdr:rowOff>35858</xdr:rowOff>
    </xdr:from>
    <xdr:to>
      <xdr:col>23</xdr:col>
      <xdr:colOff>62753</xdr:colOff>
      <xdr:row>8</xdr:row>
      <xdr:rowOff>161365</xdr:rowOff>
    </xdr:to>
    <xdr:sp macro="" textlink="">
      <xdr:nvSpPr>
        <xdr:cNvPr id="45" name="TextBox 44">
          <a:extLst>
            <a:ext uri="{FF2B5EF4-FFF2-40B4-BE49-F238E27FC236}">
              <a16:creationId xmlns:a16="http://schemas.microsoft.com/office/drawing/2014/main" id="{A0415760-E064-F2A9-924A-36C56AEF3ADD}"/>
            </a:ext>
          </a:extLst>
        </xdr:cNvPr>
        <xdr:cNvSpPr txBox="1"/>
      </xdr:nvSpPr>
      <xdr:spPr>
        <a:xfrm>
          <a:off x="12810565" y="932329"/>
          <a:ext cx="1272988" cy="66338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Journalists Affected</a:t>
          </a:r>
        </a:p>
      </xdr:txBody>
    </xdr:sp>
    <xdr:clientData/>
  </xdr:twoCellAnchor>
  <xdr:twoCellAnchor>
    <xdr:from>
      <xdr:col>21</xdr:col>
      <xdr:colOff>268941</xdr:colOff>
      <xdr:row>7</xdr:row>
      <xdr:rowOff>35858</xdr:rowOff>
    </xdr:from>
    <xdr:to>
      <xdr:col>23</xdr:col>
      <xdr:colOff>412377</xdr:colOff>
      <xdr:row>10</xdr:row>
      <xdr:rowOff>17929</xdr:rowOff>
    </xdr:to>
    <xdr:sp macro="" textlink="">
      <xdr:nvSpPr>
        <xdr:cNvPr id="47" name="TextBox 46">
          <a:extLst>
            <a:ext uri="{FF2B5EF4-FFF2-40B4-BE49-F238E27FC236}">
              <a16:creationId xmlns:a16="http://schemas.microsoft.com/office/drawing/2014/main" id="{54EB9A68-26F8-7F2D-24DE-51943524DC4C}"/>
            </a:ext>
          </a:extLst>
        </xdr:cNvPr>
        <xdr:cNvSpPr txBox="1"/>
      </xdr:nvSpPr>
      <xdr:spPr>
        <a:xfrm>
          <a:off x="13070541" y="1290917"/>
          <a:ext cx="1362636" cy="5199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mn-lt"/>
              <a:ea typeface="+mn-ea"/>
              <a:cs typeface="+mn-cs"/>
            </a:rPr>
            <a:t>1,192</a:t>
          </a:r>
          <a:r>
            <a:rPr lang="en-IN" sz="2400" b="1">
              <a:effectLst/>
            </a:rPr>
            <a:t> </a:t>
          </a:r>
          <a:endParaRPr lang="en-IN" sz="2400" b="1"/>
        </a:p>
      </xdr:txBody>
    </xdr:sp>
    <xdr:clientData/>
  </xdr:twoCellAnchor>
  <xdr:twoCellAnchor editAs="oneCell">
    <xdr:from>
      <xdr:col>0</xdr:col>
      <xdr:colOff>121227</xdr:colOff>
      <xdr:row>37</xdr:row>
      <xdr:rowOff>169718</xdr:rowOff>
    </xdr:from>
    <xdr:to>
      <xdr:col>2</xdr:col>
      <xdr:colOff>221673</xdr:colOff>
      <xdr:row>51</xdr:row>
      <xdr:rowOff>115165</xdr:rowOff>
    </xdr:to>
    <mc:AlternateContent xmlns:mc="http://schemas.openxmlformats.org/markup-compatibility/2006" xmlns:a14="http://schemas.microsoft.com/office/drawing/2010/main">
      <mc:Choice Requires="a14">
        <xdr:graphicFrame macro="">
          <xdr:nvGraphicFramePr>
            <xdr:cNvPr id="50" name="reliability_score">
              <a:extLst>
                <a:ext uri="{FF2B5EF4-FFF2-40B4-BE49-F238E27FC236}">
                  <a16:creationId xmlns:a16="http://schemas.microsoft.com/office/drawing/2014/main" id="{A3CD562C-9307-94E5-7C02-8D0D5BE4CAAF}"/>
                </a:ext>
              </a:extLst>
            </xdr:cNvPr>
            <xdr:cNvGraphicFramePr/>
          </xdr:nvGraphicFramePr>
          <xdr:xfrm>
            <a:off x="0" y="0"/>
            <a:ext cx="0" cy="0"/>
          </xdr:xfrm>
          <a:graphic>
            <a:graphicData uri="http://schemas.microsoft.com/office/drawing/2010/slicer">
              <sle:slicer xmlns:sle="http://schemas.microsoft.com/office/drawing/2010/slicer" name="reliability_score"/>
            </a:graphicData>
          </a:graphic>
        </xdr:graphicFrame>
      </mc:Choice>
      <mc:Fallback xmlns="">
        <xdr:sp macro="" textlink="">
          <xdr:nvSpPr>
            <xdr:cNvPr id="0" name=""/>
            <xdr:cNvSpPr>
              <a:spLocks noTextEdit="1"/>
            </xdr:cNvSpPr>
          </xdr:nvSpPr>
          <xdr:spPr>
            <a:xfrm>
              <a:off x="121227" y="6957162"/>
              <a:ext cx="1314002" cy="2513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89362</xdr:colOff>
      <xdr:row>21</xdr:row>
      <xdr:rowOff>110144</xdr:rowOff>
    </xdr:from>
    <xdr:to>
      <xdr:col>2</xdr:col>
      <xdr:colOff>277091</xdr:colOff>
      <xdr:row>35</xdr:row>
      <xdr:rowOff>55592</xdr:rowOff>
    </xdr:to>
    <mc:AlternateContent xmlns:mc="http://schemas.openxmlformats.org/markup-compatibility/2006" xmlns:a14="http://schemas.microsoft.com/office/drawing/2010/main">
      <mc:Choice Requires="a14">
        <xdr:graphicFrame macro="">
          <xdr:nvGraphicFramePr>
            <xdr:cNvPr id="48" name="conflict_id">
              <a:extLst>
                <a:ext uri="{FF2B5EF4-FFF2-40B4-BE49-F238E27FC236}">
                  <a16:creationId xmlns:a16="http://schemas.microsoft.com/office/drawing/2014/main" id="{FCCC7330-934A-BA63-3AE7-3A744A075AE5}"/>
                </a:ext>
              </a:extLst>
            </xdr:cNvPr>
            <xdr:cNvGraphicFramePr/>
          </xdr:nvGraphicFramePr>
          <xdr:xfrm>
            <a:off x="0" y="0"/>
            <a:ext cx="0" cy="0"/>
          </xdr:xfrm>
          <a:graphic>
            <a:graphicData uri="http://schemas.microsoft.com/office/drawing/2010/slicer">
              <sle:slicer xmlns:sle="http://schemas.microsoft.com/office/drawing/2010/slicer" name="conflict_id"/>
            </a:graphicData>
          </a:graphic>
        </xdr:graphicFrame>
      </mc:Choice>
      <mc:Fallback xmlns="">
        <xdr:sp macro="" textlink="">
          <xdr:nvSpPr>
            <xdr:cNvPr id="0" name=""/>
            <xdr:cNvSpPr>
              <a:spLocks noTextEdit="1"/>
            </xdr:cNvSpPr>
          </xdr:nvSpPr>
          <xdr:spPr>
            <a:xfrm>
              <a:off x="89362" y="3962477"/>
              <a:ext cx="1401285" cy="2513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83127</xdr:colOff>
      <xdr:row>5</xdr:row>
      <xdr:rowOff>146859</xdr:rowOff>
    </xdr:from>
    <xdr:to>
      <xdr:col>2</xdr:col>
      <xdr:colOff>249382</xdr:colOff>
      <xdr:row>19</xdr:row>
      <xdr:rowOff>92306</xdr:rowOff>
    </xdr:to>
    <mc:AlternateContent xmlns:mc="http://schemas.openxmlformats.org/markup-compatibility/2006" xmlns:a14="http://schemas.microsoft.com/office/drawing/2010/main">
      <mc:Choice Requires="a14">
        <xdr:graphicFrame macro="">
          <xdr:nvGraphicFramePr>
            <xdr:cNvPr id="49" name="conflict_name">
              <a:extLst>
                <a:ext uri="{FF2B5EF4-FFF2-40B4-BE49-F238E27FC236}">
                  <a16:creationId xmlns:a16="http://schemas.microsoft.com/office/drawing/2014/main" id="{DACB0097-B1A9-A658-18E0-2D5439E429D9}"/>
                </a:ext>
              </a:extLst>
            </xdr:cNvPr>
            <xdr:cNvGraphicFramePr/>
          </xdr:nvGraphicFramePr>
          <xdr:xfrm>
            <a:off x="0" y="0"/>
            <a:ext cx="0" cy="0"/>
          </xdr:xfrm>
          <a:graphic>
            <a:graphicData uri="http://schemas.microsoft.com/office/drawing/2010/slicer">
              <sle:slicer xmlns:sle="http://schemas.microsoft.com/office/drawing/2010/slicer" name="conflict_name"/>
            </a:graphicData>
          </a:graphic>
        </xdr:graphicFrame>
      </mc:Choice>
      <mc:Fallback xmlns="">
        <xdr:sp macro="" textlink="">
          <xdr:nvSpPr>
            <xdr:cNvPr id="0" name=""/>
            <xdr:cNvSpPr>
              <a:spLocks noTextEdit="1"/>
            </xdr:cNvSpPr>
          </xdr:nvSpPr>
          <xdr:spPr>
            <a:xfrm>
              <a:off x="83127" y="1064081"/>
              <a:ext cx="1379811" cy="2513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tambitkar" refreshedDate="46211.648053703706" createdVersion="8" refreshedVersion="8" minRefreshableVersion="3" recordCount="27" xr:uid="{C452550A-B5D3-45C7-9494-26D081E4C7E3}">
  <cacheSource type="worksheet">
    <worksheetSource name="_02_Casualties_Detail___02_Casualties_Detail"/>
  </cacheSource>
  <cacheFields count="22">
    <cacheField name="conflict_id" numFmtId="0">
      <sharedItems count="27">
        <s v="C01"/>
        <s v="C02"/>
        <s v="C03"/>
        <s v="C04"/>
        <s v="C05"/>
        <s v="C06"/>
        <s v="C07"/>
        <s v="C08"/>
        <s v="C09"/>
        <s v="C10"/>
        <s v="C11"/>
        <s v="C12"/>
        <s v="C13"/>
        <s v="C14"/>
        <s v="C15"/>
        <s v="C16"/>
        <s v="C17"/>
        <s v="C18"/>
        <s v="C19"/>
        <s v="C20"/>
        <s v="C21"/>
        <s v="C22"/>
        <s v="C23"/>
        <s v="C24"/>
        <s v="C25"/>
        <s v="C26"/>
        <s v="C27"/>
      </sharedItems>
    </cacheField>
    <cacheField name="conflict_name" numFmtId="0">
      <sharedItems count="28">
        <s v="1948 Arab-Israeli War"/>
        <s v="Suez Crisis"/>
        <s v="Six-Day War"/>
        <s v="War of Attrition"/>
        <s v="Black September"/>
        <s v="Yom Kippur War"/>
        <s v="Lebanese Civil War"/>
        <s v="Op. Litani 1978"/>
        <s v="Iran-Iraq War"/>
        <s v="Israeli Invasion Lebanon 1982"/>
        <s v="Gulf War 1991"/>
        <s v="Iraqi No-Fly Zones"/>
        <s v="1st Intifada"/>
        <s v="2nd Intifada"/>
        <s v="Iraq War OIF "/>
        <s v="Iraqi Insurgency AQI"/>
        <s v="2006 Lebanon War"/>
        <s v="Gaza Cast Lead"/>
        <s v="Gaza Pillar of Defense"/>
        <s v="Gaza Protective Edge"/>
        <s v="Syrian Civil War"/>
        <s v="ISIS War OIR"/>
        <s v="Yemen Civil War"/>
        <s v="Gaza War Al-Aqsa Flood"/>
        <s v="Israel-Lebanon War 2024"/>
        <s v="Twelve-Day War 2025"/>
        <s v="Iran War Op. Epic Fury (Mar 2026)"/>
        <s v="Iraq War OIF (total)" u="1"/>
      </sharedItems>
    </cacheField>
    <cacheField name="total_dead_est_low" numFmtId="0">
      <sharedItems containsSemiMixedTypes="0" containsString="0" containsNumber="1" containsInteger="1" minValue="170" maxValue="500000"/>
    </cacheField>
    <cacheField name="total_dead_est_high" numFmtId="0">
      <sharedItems containsSemiMixedTypes="0" containsString="0" containsNumber="1" containsInteger="1" minValue="180" maxValue="1000000"/>
    </cacheField>
    <cacheField name="military_killed_side_A" numFmtId="0">
      <sharedItems containsSemiMixedTypes="0" containsString="0" containsNumber="1" containsInteger="1" minValue="6" maxValue="300000"/>
    </cacheField>
    <cacheField name="military_killed_side_B" numFmtId="0">
      <sharedItems containsSemiMixedTypes="0" containsString="0" containsNumber="1" containsInteger="1" minValue="50" maxValue="500000"/>
    </cacheField>
    <cacheField name="civilian_killed_est" numFmtId="0">
      <sharedItems containsSemiMixedTypes="0" containsString="0" containsNumber="1" containsInteger="1" minValue="15" maxValue="250000"/>
    </cacheField>
    <cacheField name="civ_men_pct" numFmtId="0">
      <sharedItems containsSemiMixedTypes="0" containsString="0" containsNumber="1" minValue="0.2" maxValue="0.6"/>
    </cacheField>
    <cacheField name="civ_women_pct" numFmtId="0">
      <sharedItems containsSemiMixedTypes="0" containsString="0" containsNumber="1" minValue="0.2" maxValue="0.32"/>
    </cacheField>
    <cacheField name="civ_children_pct" numFmtId="0">
      <sharedItems containsSemiMixedTypes="0" containsString="0" containsNumber="1" minValue="0.2" maxValue="0.5"/>
    </cacheField>
    <cacheField name="civ_children_abs_est" numFmtId="2">
      <sharedItems containsSemiMixedTypes="0" containsString="0" containsNumber="1" containsInteger="1" minValue="60" maxValue="92000"/>
    </cacheField>
    <cacheField name="wounded_total_est" numFmtId="2">
      <sharedItems containsSemiMixedTypes="0" containsString="0" containsNumber="1" containsInteger="1" minValue="1200" maxValue="1500000"/>
    </cacheField>
    <cacheField name="pows_taken" numFmtId="2">
      <sharedItems containsMixedTypes="1" containsNumber="1" containsInteger="1" minValue="2" maxValue="100000" count="19">
        <n v="7000"/>
        <n v="6000"/>
        <n v="10000"/>
        <n v="500"/>
        <n v="2000"/>
        <n v="15000"/>
        <n v="80000"/>
        <n v="8000"/>
        <s v="—"/>
        <n v="5000"/>
        <n v="3000"/>
        <n v="20000"/>
        <n v="200"/>
        <n v="100"/>
        <n v="300"/>
        <n v="100000"/>
        <n v="12000"/>
        <n v="251"/>
        <n v="2"/>
      </sharedItems>
    </cacheField>
    <cacheField name="missing_persons" numFmtId="2">
      <sharedItems containsMixedTypes="1" containsNumber="1" containsInteger="1" minValue="100" maxValue="200000" count="18">
        <n v="1200"/>
        <n v="500"/>
        <n v="1000"/>
        <n v="200"/>
        <n v="2000"/>
        <n v="17000"/>
        <n v="300"/>
        <n v="50000"/>
        <n v="3000"/>
        <n v="5000"/>
        <s v="—"/>
        <n v="800"/>
        <n v="8000"/>
        <n v="400"/>
        <n v="200000"/>
        <n v="30000"/>
        <n v="10000"/>
        <n v="100"/>
      </sharedItems>
    </cacheField>
    <cacheField name="displaced_persons" numFmtId="2">
      <sharedItems containsMixedTypes="1" containsNumber="1" containsInteger="1" minValue="100000" maxValue="13000000" count="18">
        <n v="750000"/>
        <n v="230000"/>
        <n v="350000"/>
        <s v="—"/>
        <n v="100000"/>
        <n v="300000"/>
        <n v="1000000"/>
        <n v="250000"/>
        <n v="4000000"/>
        <n v="800000"/>
        <n v="5000000"/>
        <n v="200000"/>
        <n v="4500000"/>
        <n v="2000000"/>
        <n v="500000"/>
        <n v="13000000"/>
        <n v="8000000"/>
        <n v="1200000"/>
      </sharedItems>
    </cacheField>
    <cacheField name="refugees_abroad" numFmtId="2">
      <sharedItems containsMixedTypes="1" containsNumber="1" containsInteger="1" minValue="50000" maxValue="6600000" count="13">
        <n v="700000"/>
        <n v="50000"/>
        <n v="300000"/>
        <s v="—"/>
        <n v="100000"/>
        <n v="500000"/>
        <n v="2500000"/>
        <n v="400000"/>
        <n v="3000000"/>
        <n v="2000000"/>
        <n v="6600000"/>
        <n v="3500000"/>
        <n v="200000"/>
      </sharedItems>
    </cacheField>
    <cacheField name="total_affected_pop" numFmtId="0">
      <sharedItems count="14">
        <s v="4M affected"/>
        <s v="500k"/>
        <s v="1M"/>
        <s v="300k"/>
        <s v="3M"/>
        <s v="10M"/>
        <s v="2M"/>
        <s v="8M"/>
        <s v="15M"/>
        <s v="1.5M"/>
        <s v="20M"/>
        <s v="23M"/>
        <s v="2.3M"/>
        <s v="5M"/>
      </sharedItems>
    </cacheField>
    <cacheField name="famine_disease_deaths_indirect" numFmtId="0">
      <sharedItems containsSemiMixedTypes="0" containsString="0" containsNumber="1" containsInteger="1" minValue="30" maxValue="200000"/>
    </cacheField>
    <cacheField name="journalists_killed" numFmtId="0">
      <sharedItems containsSemiMixedTypes="0" containsString="0" containsNumber="1" containsInteger="1" minValue="0" maxValue="600"/>
    </cacheField>
    <cacheField name="aid_workers_killed" numFmtId="0">
      <sharedItems containsSemiMixedTypes="0" containsString="0" containsNumber="1" containsInteger="1" minValue="0" maxValue="224"/>
    </cacheField>
    <cacheField name="data_source" numFmtId="0">
      <sharedItems/>
    </cacheField>
    <cacheField name="reliability_score" numFmtId="0">
      <sharedItems containsSemiMixedTypes="0" containsString="0" containsNumber="1" containsInteger="1" minValue="5" maxValue="9" count="5">
        <n v="7"/>
        <n v="8"/>
        <n v="6"/>
        <n v="5"/>
        <n v="9"/>
      </sharedItems>
    </cacheField>
  </cacheFields>
  <extLst>
    <ext xmlns:x14="http://schemas.microsoft.com/office/spreadsheetml/2009/9/main" uri="{725AE2AE-9491-48be-B2B4-4EB974FC3084}">
      <x14:pivotCacheDefinition pivotCacheId="1290616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n v="6000"/>
    <n v="15000"/>
    <n v="4074"/>
    <n v="6000"/>
    <n v="3500"/>
    <n v="0.45"/>
    <n v="0.25"/>
    <n v="0.3"/>
    <n v="1050"/>
    <n v="20000"/>
    <x v="0"/>
    <x v="0"/>
    <x v="0"/>
    <x v="0"/>
    <x v="0"/>
    <n v="500"/>
    <n v="2"/>
    <n v="1"/>
    <s v="Benny Morris; Israeli MoD; UNRWA"/>
    <x v="0"/>
  </r>
  <r>
    <x v="1"/>
    <x v="1"/>
    <n v="1000"/>
    <n v="3200"/>
    <n v="172"/>
    <n v="2000"/>
    <n v="600"/>
    <n v="0.5"/>
    <n v="0.2"/>
    <n v="0.3"/>
    <n v="180"/>
    <n v="4000"/>
    <x v="1"/>
    <x v="1"/>
    <x v="1"/>
    <x v="1"/>
    <x v="1"/>
    <n v="100"/>
    <n v="0"/>
    <n v="0"/>
    <s v="SIPRI; Britannica"/>
    <x v="0"/>
  </r>
  <r>
    <x v="2"/>
    <x v="2"/>
    <n v="750"/>
    <n v="21000"/>
    <n v="700"/>
    <n v="15000"/>
    <n v="1000"/>
    <n v="0.55000000000000004"/>
    <n v="0.2"/>
    <n v="0.25"/>
    <n v="250"/>
    <n v="45000"/>
    <x v="2"/>
    <x v="2"/>
    <x v="2"/>
    <x v="2"/>
    <x v="2"/>
    <n v="200"/>
    <n v="0"/>
    <n v="0"/>
    <s v="CFR; Wikipedia; IDF"/>
    <x v="1"/>
  </r>
  <r>
    <x v="3"/>
    <x v="3"/>
    <n v="500"/>
    <n v="2000"/>
    <n v="500"/>
    <n v="10000"/>
    <n v="300"/>
    <n v="0.6"/>
    <n v="0.2"/>
    <n v="0.2"/>
    <n v="60"/>
    <n v="3000"/>
    <x v="3"/>
    <x v="3"/>
    <x v="3"/>
    <x v="3"/>
    <x v="3"/>
    <n v="50"/>
    <n v="0"/>
    <n v="0"/>
    <s v="IISS"/>
    <x v="2"/>
  </r>
  <r>
    <x v="4"/>
    <x v="4"/>
    <n v="3000"/>
    <n v="5000"/>
    <n v="1200"/>
    <n v="2300"/>
    <n v="2000"/>
    <n v="0.4"/>
    <n v="0.3"/>
    <n v="0.3"/>
    <n v="600"/>
    <n v="10000"/>
    <x v="4"/>
    <x v="1"/>
    <x v="4"/>
    <x v="1"/>
    <x v="3"/>
    <n v="200"/>
    <n v="0"/>
    <n v="0"/>
    <s v="Amnesty; PLO sources"/>
    <x v="3"/>
  </r>
  <r>
    <x v="5"/>
    <x v="5"/>
    <n v="2521"/>
    <n v="18500"/>
    <n v="2521"/>
    <n v="8528"/>
    <n v="1000"/>
    <n v="0.55000000000000004"/>
    <n v="0.2"/>
    <n v="0.25"/>
    <n v="250"/>
    <n v="35000"/>
    <x v="2"/>
    <x v="4"/>
    <x v="5"/>
    <x v="4"/>
    <x v="2"/>
    <n v="150"/>
    <n v="0"/>
    <n v="0"/>
    <s v="IDF; Egyptian MoD; Britannica"/>
    <x v="1"/>
  </r>
  <r>
    <x v="6"/>
    <x v="6"/>
    <n v="100000"/>
    <n v="170000"/>
    <n v="90000"/>
    <n v="60000"/>
    <n v="100000"/>
    <n v="0.35"/>
    <n v="0.3"/>
    <n v="0.35"/>
    <n v="35000"/>
    <n v="300000"/>
    <x v="5"/>
    <x v="5"/>
    <x v="6"/>
    <x v="5"/>
    <x v="4"/>
    <n v="30000"/>
    <n v="30"/>
    <n v="20"/>
    <s v="Fisk; ICRC; Lebanese govt"/>
    <x v="3"/>
  </r>
  <r>
    <x v="7"/>
    <x v="7"/>
    <n v="1100"/>
    <n v="2000"/>
    <n v="900"/>
    <n v="50"/>
    <n v="1000"/>
    <n v="0.4"/>
    <n v="0.3"/>
    <n v="0.3"/>
    <n v="300"/>
    <n v="4000"/>
    <x v="3"/>
    <x v="6"/>
    <x v="7"/>
    <x v="1"/>
    <x v="1"/>
    <n v="200"/>
    <n v="0"/>
    <n v="1"/>
    <s v="UN; ICRC"/>
    <x v="2"/>
  </r>
  <r>
    <x v="8"/>
    <x v="8"/>
    <n v="500000"/>
    <n v="1000000"/>
    <n v="300000"/>
    <n v="500000"/>
    <n v="100000"/>
    <n v="0.5"/>
    <n v="0.2"/>
    <n v="0.3"/>
    <n v="30000"/>
    <n v="1500000"/>
    <x v="6"/>
    <x v="7"/>
    <x v="8"/>
    <x v="6"/>
    <x v="5"/>
    <n v="50000"/>
    <n v="10"/>
    <n v="5"/>
    <s v="Kurzman; Britannica; CorrelatesOfWar"/>
    <x v="3"/>
  </r>
  <r>
    <x v="9"/>
    <x v="9"/>
    <n v="6000"/>
    <n v="18000"/>
    <n v="368"/>
    <n v="3000"/>
    <n v="17500"/>
    <n v="0.35"/>
    <n v="0.3"/>
    <n v="0.35"/>
    <n v="6100"/>
    <n v="30000"/>
    <x v="7"/>
    <x v="8"/>
    <x v="9"/>
    <x v="7"/>
    <x v="6"/>
    <n v="5000"/>
    <n v="20"/>
    <n v="10"/>
    <s v="Amnesty; IDF; Lebanese govt"/>
    <x v="3"/>
  </r>
  <r>
    <x v="10"/>
    <x v="10"/>
    <n v="25000"/>
    <n v="35000"/>
    <n v="292"/>
    <n v="25000"/>
    <n v="3500"/>
    <n v="0.45"/>
    <n v="0.25"/>
    <n v="0.3"/>
    <n v="1050"/>
    <n v="75000"/>
    <x v="6"/>
    <x v="9"/>
    <x v="10"/>
    <x v="8"/>
    <x v="7"/>
    <n v="2000"/>
    <n v="0"/>
    <n v="2"/>
    <s v="CENTCOM; SIPRI"/>
    <x v="4"/>
  </r>
  <r>
    <x v="11"/>
    <x v="11"/>
    <n v="1500"/>
    <n v="3000"/>
    <n v="20"/>
    <n v="1480"/>
    <n v="600"/>
    <n v="0.55000000000000004"/>
    <n v="0.2"/>
    <n v="0.25"/>
    <n v="150"/>
    <n v="3000"/>
    <x v="8"/>
    <x v="10"/>
    <x v="3"/>
    <x v="3"/>
    <x v="6"/>
    <n v="200"/>
    <n v="0"/>
    <n v="0"/>
    <s v="GlobalSecurity"/>
    <x v="2"/>
  </r>
  <r>
    <x v="12"/>
    <x v="12"/>
    <n v="1000"/>
    <n v="2000"/>
    <n v="160"/>
    <n v="1000"/>
    <n v="750"/>
    <n v="0.4"/>
    <n v="0.25"/>
    <n v="0.35"/>
    <n v="260"/>
    <n v="80000"/>
    <x v="9"/>
    <x v="1"/>
    <x v="4"/>
    <x v="1"/>
    <x v="6"/>
    <n v="200"/>
    <n v="2"/>
    <n v="1"/>
    <s v="B'Tselem; IDF"/>
    <x v="0"/>
  </r>
  <r>
    <x v="13"/>
    <x v="13"/>
    <n v="3000"/>
    <n v="5000"/>
    <n v="1100"/>
    <n v="3000"/>
    <n v="2000"/>
    <n v="0.4"/>
    <n v="0.25"/>
    <n v="0.35"/>
    <n v="700"/>
    <n v="50000"/>
    <x v="10"/>
    <x v="11"/>
    <x v="11"/>
    <x v="1"/>
    <x v="4"/>
    <n v="500"/>
    <n v="5"/>
    <n v="2"/>
    <s v="B'Tselem; IDF; OCHA"/>
    <x v="1"/>
  </r>
  <r>
    <x v="14"/>
    <x v="14"/>
    <n v="150000"/>
    <n v="300000"/>
    <n v="4500"/>
    <n v="30000"/>
    <n v="200000"/>
    <n v="0.35"/>
    <n v="0.3"/>
    <n v="0.35"/>
    <n v="70000"/>
    <n v="100000"/>
    <x v="11"/>
    <x v="12"/>
    <x v="12"/>
    <x v="9"/>
    <x v="8"/>
    <n v="100000"/>
    <n v="150"/>
    <n v="80"/>
    <s v="Iraq Body Count; Lancet; UNHCR"/>
    <x v="1"/>
  </r>
  <r>
    <x v="15"/>
    <x v="15"/>
    <n v="10000"/>
    <n v="20000"/>
    <n v="4000"/>
    <n v="10000"/>
    <n v="25000"/>
    <n v="0.35"/>
    <n v="0.25"/>
    <n v="0.4"/>
    <n v="10000"/>
    <n v="80000"/>
    <x v="10"/>
    <x v="9"/>
    <x v="13"/>
    <x v="5"/>
    <x v="7"/>
    <n v="20000"/>
    <n v="30"/>
    <n v="10"/>
    <s v="SIGACT; IraqBodyCount"/>
    <x v="0"/>
  </r>
  <r>
    <x v="16"/>
    <x v="16"/>
    <n v="1365"/>
    <n v="1500"/>
    <n v="121"/>
    <n v="1200"/>
    <n v="1200"/>
    <n v="0.35"/>
    <n v="0.3"/>
    <n v="0.35"/>
    <n v="420"/>
    <n v="4400"/>
    <x v="12"/>
    <x v="13"/>
    <x v="6"/>
    <x v="4"/>
    <x v="9"/>
    <n v="300"/>
    <n v="1"/>
    <n v="2"/>
    <s v="OCHA; IDF; HRW"/>
    <x v="1"/>
  </r>
  <r>
    <x v="17"/>
    <x v="17"/>
    <n v="1390"/>
    <n v="1440"/>
    <n v="13"/>
    <n v="1167"/>
    <n v="350"/>
    <n v="0.3"/>
    <n v="0.3"/>
    <n v="0.4"/>
    <n v="490"/>
    <n v="5300"/>
    <x v="13"/>
    <x v="3"/>
    <x v="7"/>
    <x v="3"/>
    <x v="9"/>
    <n v="200"/>
    <n v="0"/>
    <n v="1"/>
    <s v="B'Tselem; IDF; UN"/>
    <x v="1"/>
  </r>
  <r>
    <x v="18"/>
    <x v="18"/>
    <n v="170"/>
    <n v="180"/>
    <n v="6"/>
    <n v="155"/>
    <n v="15"/>
    <n v="0.3"/>
    <n v="0.3"/>
    <n v="0.4"/>
    <n v="60"/>
    <n v="1200"/>
    <x v="8"/>
    <x v="10"/>
    <x v="4"/>
    <x v="3"/>
    <x v="9"/>
    <n v="30"/>
    <n v="0"/>
    <n v="0"/>
    <s v="IDF; OCHA"/>
    <x v="1"/>
  </r>
  <r>
    <x v="19"/>
    <x v="19"/>
    <n v="2100"/>
    <n v="2200"/>
    <n v="67"/>
    <n v="2023"/>
    <n v="1500"/>
    <n v="0.3"/>
    <n v="0.27"/>
    <n v="0.43"/>
    <n v="640"/>
    <n v="11000"/>
    <x v="14"/>
    <x v="6"/>
    <x v="14"/>
    <x v="3"/>
    <x v="6"/>
    <n v="500"/>
    <n v="2"/>
    <n v="1"/>
    <s v="B'Tselem; UN; IDF"/>
    <x v="1"/>
  </r>
  <r>
    <x v="20"/>
    <x v="20"/>
    <n v="350000"/>
    <n v="500000"/>
    <n v="150000"/>
    <n v="200000"/>
    <n v="250000"/>
    <n v="0.35"/>
    <n v="0.28000000000000003"/>
    <n v="0.37"/>
    <n v="92000"/>
    <n v="1000000"/>
    <x v="15"/>
    <x v="14"/>
    <x v="15"/>
    <x v="10"/>
    <x v="10"/>
    <n v="150000"/>
    <n v="600"/>
    <n v="100"/>
    <s v="SNHR; OHCHR; SOHR"/>
    <x v="0"/>
  </r>
  <r>
    <x v="21"/>
    <x v="21"/>
    <n v="30000"/>
    <n v="55000"/>
    <n v="1500"/>
    <n v="50000"/>
    <n v="11000"/>
    <n v="0.35"/>
    <n v="0.25"/>
    <n v="0.4"/>
    <n v="4400"/>
    <n v="40000"/>
    <x v="16"/>
    <x v="9"/>
    <x v="16"/>
    <x v="11"/>
    <x v="8"/>
    <n v="20000"/>
    <n v="50"/>
    <n v="30"/>
    <s v="CJTF-OIR; Airwars; ACLED"/>
    <x v="1"/>
  </r>
  <r>
    <x v="22"/>
    <x v="22"/>
    <n v="150000"/>
    <n v="377000"/>
    <n v="80000"/>
    <n v="70000"/>
    <n v="100000"/>
    <n v="0.4"/>
    <n v="0.28000000000000003"/>
    <n v="0.32"/>
    <n v="32000"/>
    <n v="400000"/>
    <x v="11"/>
    <x v="15"/>
    <x v="12"/>
    <x v="12"/>
    <x v="11"/>
    <n v="200000"/>
    <n v="30"/>
    <n v="25"/>
    <s v="ACLED; OCHA; WHO"/>
    <x v="2"/>
  </r>
  <r>
    <x v="23"/>
    <x v="23"/>
    <n v="70000"/>
    <n v="80000"/>
    <n v="2039"/>
    <n v="13000"/>
    <n v="58000"/>
    <n v="0.2"/>
    <n v="0.3"/>
    <n v="0.5"/>
    <n v="29000"/>
    <n v="100000"/>
    <x v="17"/>
    <x v="16"/>
    <x v="13"/>
    <x v="4"/>
    <x v="12"/>
    <n v="20000"/>
    <n v="248"/>
    <n v="224"/>
    <s v="GHM; IDF; OHCHR; Wikipedia"/>
    <x v="1"/>
  </r>
  <r>
    <x v="24"/>
    <x v="24"/>
    <n v="4300"/>
    <n v="7000"/>
    <n v="300"/>
    <n v="4000"/>
    <n v="3000"/>
    <n v="0.35"/>
    <n v="0.3"/>
    <n v="0.35"/>
    <n v="1050"/>
    <n v="15000"/>
    <x v="12"/>
    <x v="1"/>
    <x v="17"/>
    <x v="4"/>
    <x v="6"/>
    <n v="500"/>
    <n v="5"/>
    <n v="3"/>
    <s v="Lebanese DDRM; IDF; Reuters"/>
    <x v="0"/>
  </r>
  <r>
    <x v="25"/>
    <x v="25"/>
    <n v="2000"/>
    <n v="3000"/>
    <n v="1500"/>
    <n v="50"/>
    <n v="2000"/>
    <n v="0.4"/>
    <n v="0.3"/>
    <n v="0.3"/>
    <n v="600"/>
    <n v="8000"/>
    <x v="18"/>
    <x v="17"/>
    <x v="14"/>
    <x v="3"/>
    <x v="13"/>
    <n v="200"/>
    <n v="2"/>
    <n v="1"/>
    <s v="Wikipedia IT; Al Jazeera; IDF"/>
    <x v="0"/>
  </r>
  <r>
    <x v="26"/>
    <x v="26"/>
    <n v="1270"/>
    <n v="2000"/>
    <n v="8"/>
    <n v="900"/>
    <n v="1300"/>
    <n v="0.38"/>
    <n v="0.32"/>
    <n v="0.3"/>
    <n v="390"/>
    <n v="5000"/>
    <x v="8"/>
    <x v="10"/>
    <x v="6"/>
    <x v="3"/>
    <x v="5"/>
    <n v="100"/>
    <n v="5"/>
    <n v="3"/>
    <s v="Al Jazeera live tracker; SCMP; Canberra Time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EA606D-4E26-45B7-901E-0E933ECFB3A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C9" firstHeaderRow="0"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a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s>
  <rowFields count="1">
    <field x="1"/>
  </rowFields>
  <rowItems count="6">
    <i>
      <x v="8"/>
    </i>
    <i>
      <x v="19"/>
    </i>
    <i>
      <x v="12"/>
    </i>
    <i>
      <x v="26"/>
    </i>
    <i>
      <x v="23"/>
    </i>
    <i>
      <x v="11"/>
    </i>
  </rowItems>
  <colFields count="1">
    <field x="-2"/>
  </colFields>
  <colItems count="2">
    <i>
      <x/>
    </i>
    <i i="1">
      <x v="1"/>
    </i>
  </colItems>
  <dataFields count="2">
    <dataField name="Low Estimate" fld="2" baseField="1" baseItem="11"/>
    <dataField name="High Estimate" fld="3" baseField="1" baseItem="11"/>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pivotArea type="data" outline="0" fieldPosition="0">
        <references count="2">
          <reference field="4294967294" count="1" selected="0">
            <x v="1"/>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2153E-B443-4AE5-9C20-1A18B1611856}"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9" firstHeaderRow="1"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s>
  <rowFields count="1">
    <field x="1"/>
  </rowFields>
  <rowItems count="6">
    <i>
      <x v="23"/>
    </i>
    <i>
      <x v="12"/>
    </i>
    <i>
      <x v="11"/>
    </i>
    <i>
      <x v="26"/>
    </i>
    <i>
      <x v="19"/>
    </i>
    <i>
      <x v="8"/>
    </i>
  </rowItems>
  <colItems count="1">
    <i/>
  </colItems>
  <dataFields count="1">
    <dataField name="Sum of civilian_killed_est" fld="6" baseField="0" baseItem="0"/>
  </dataField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2C47A-97CD-4EF6-84B4-66E11E5CE5F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9" firstHeaderRow="1"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a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3"/>
        <item x="2"/>
        <item x="0"/>
        <item x="1"/>
        <item x="4"/>
        <item t="default"/>
      </items>
    </pivotField>
  </pivotFields>
  <rowFields count="1">
    <field x="1"/>
  </rowFields>
  <rowItems count="6">
    <i>
      <x v="19"/>
    </i>
    <i>
      <x v="8"/>
    </i>
    <i>
      <x v="11"/>
    </i>
    <i>
      <x v="12"/>
    </i>
    <i>
      <x v="26"/>
    </i>
    <i>
      <x v="23"/>
    </i>
  </rowItems>
  <colItems count="1">
    <i/>
  </colItems>
  <dataFields count="1">
    <dataField name="Sum of displaced_persons" fld="14" baseField="1" baseItem="4"/>
  </dataField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4B7C3C-D421-4349-B4EE-BD337C0E5E7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9" firstHeaderRow="1"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dataField="1" showAll="0">
      <items count="14">
        <item x="1"/>
        <item x="4"/>
        <item x="12"/>
        <item x="2"/>
        <item x="7"/>
        <item x="5"/>
        <item x="0"/>
        <item x="9"/>
        <item x="6"/>
        <item x="8"/>
        <item x="11"/>
        <item x="10"/>
        <item x="3"/>
        <item t="default"/>
      </items>
    </pivotField>
    <pivotField showAll="0"/>
    <pivotField showAll="0"/>
    <pivotField showAll="0"/>
    <pivotField showAll="0"/>
    <pivotField showAll="0"/>
    <pivotField showAll="0">
      <items count="6">
        <item x="3"/>
        <item x="2"/>
        <item x="0"/>
        <item x="1"/>
        <item x="4"/>
        <item t="default"/>
      </items>
    </pivotField>
  </pivotFields>
  <rowFields count="1">
    <field x="1"/>
  </rowFields>
  <rowItems count="6">
    <i>
      <x v="23"/>
    </i>
    <i>
      <x v="11"/>
    </i>
    <i>
      <x v="12"/>
    </i>
    <i>
      <x v="19"/>
    </i>
    <i>
      <x v="26"/>
    </i>
    <i>
      <x v="8"/>
    </i>
  </rowItems>
  <colItems count="1">
    <i/>
  </colItems>
  <dataFields count="1">
    <dataField name="Sum of refugees_abroad" fld="15" baseField="1"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32719F-B5AB-4A41-9307-6AEF4DE513F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9" firstHeaderRow="1"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items count="15">
        <item x="9"/>
        <item x="5"/>
        <item x="8"/>
        <item x="2"/>
        <item x="12"/>
        <item x="10"/>
        <item x="11"/>
        <item x="6"/>
        <item x="3"/>
        <item x="4"/>
        <item x="0"/>
        <item x="1"/>
        <item x="13"/>
        <item x="7"/>
        <item t="default"/>
      </items>
    </pivotField>
    <pivotField dataField="1" showAll="0"/>
    <pivotField showAll="0"/>
    <pivotField showAll="0"/>
    <pivotField showAll="0"/>
    <pivotField showAll="0">
      <items count="6">
        <item x="3"/>
        <item x="2"/>
        <item x="0"/>
        <item x="1"/>
        <item x="4"/>
        <item t="default"/>
      </items>
    </pivotField>
  </pivotFields>
  <rowFields count="1">
    <field x="1"/>
  </rowFields>
  <rowItems count="6">
    <i>
      <x v="26"/>
    </i>
    <i>
      <x v="23"/>
    </i>
    <i>
      <x v="12"/>
    </i>
    <i>
      <x v="11"/>
    </i>
    <i>
      <x v="19"/>
    </i>
    <i>
      <x v="8"/>
    </i>
  </rowItems>
  <colItems count="1">
    <i/>
  </colItems>
  <dataFields count="1">
    <dataField name="Sum of famine_disease_deaths_indirect" fld="1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2"/>
          </reference>
        </references>
      </pivotArea>
    </chartFormat>
    <chartFormat chart="6"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26B57B-9C44-4B09-B456-630478615E03}"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C9" firstHeaderRow="0"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pivotField showAll="0"/>
    <pivotField showAll="0"/>
    <pivotField numFmtId="2" showAll="0"/>
    <pivotField dataField="1" numFmtId="2"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s>
  <rowFields count="1">
    <field x="1"/>
  </rowFields>
  <rowItems count="6">
    <i>
      <x v="11"/>
    </i>
    <i>
      <x v="23"/>
    </i>
    <i>
      <x v="26"/>
    </i>
    <i>
      <x v="12"/>
    </i>
    <i>
      <x v="19"/>
    </i>
    <i>
      <x v="8"/>
    </i>
  </rowItems>
  <colFields count="1">
    <field x="-2"/>
  </colFields>
  <colItems count="2">
    <i>
      <x/>
    </i>
    <i i="1">
      <x v="1"/>
    </i>
  </colItems>
  <dataFields count="2">
    <dataField name="Total Wounded" fld="11" baseField="1" baseItem="11" numFmtId="1"/>
    <dataField name="Total Death" fld="3" baseField="1" baseItem="11"/>
  </dataFields>
  <formats count="1">
    <format dxfId="19">
      <pivotArea outline="0" collapsedLevelsAreSubtotals="1" fieldPosition="0">
        <references count="1">
          <reference field="4294967294" count="1" selected="0">
            <x v="0"/>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26"/>
          </reference>
        </references>
      </pivotArea>
    </chartFormat>
    <chartFormat chart="2" format="3">
      <pivotArea type="data" outline="0" fieldPosition="0">
        <references count="2">
          <reference field="4294967294" count="1" selected="0">
            <x v="1"/>
          </reference>
          <reference field="1" count="1" selected="0">
            <x v="26"/>
          </reference>
        </references>
      </pivotArea>
    </chartFormat>
    <chartFormat chart="2" format="4">
      <pivotArea type="data" outline="0" fieldPosition="0">
        <references count="2">
          <reference field="4294967294" count="1" selected="0">
            <x v="0"/>
          </reference>
          <reference field="1" count="1" selected="0">
            <x v="12"/>
          </reference>
        </references>
      </pivotArea>
    </chartFormat>
    <chartFormat chart="2" format="5">
      <pivotArea type="data" outline="0" fieldPosition="0">
        <references count="2">
          <reference field="4294967294" count="1" selected="0">
            <x v="1"/>
          </reference>
          <reference field="1" count="1" selected="0">
            <x v="19"/>
          </reference>
        </references>
      </pivotArea>
    </chartFormat>
    <chartFormat chart="2" format="6">
      <pivotArea type="data" outline="0" fieldPosition="0">
        <references count="2">
          <reference field="4294967294" count="1" selected="0">
            <x v="1"/>
          </reference>
          <reference field="1" count="1" selected="0">
            <x v="8"/>
          </reference>
        </references>
      </pivotArea>
    </chartFormat>
    <chartFormat chart="2" format="7">
      <pivotArea type="data" outline="0" fieldPosition="0">
        <references count="2">
          <reference field="4294967294" count="1" selected="0">
            <x v="1"/>
          </reference>
          <reference field="1" count="1" selected="0">
            <x v="23"/>
          </reference>
        </references>
      </pivotArea>
    </chartFormat>
    <chartFormat chart="2" format="8">
      <pivotArea type="data" outline="0" fieldPosition="0">
        <references count="2">
          <reference field="4294967294" count="1" selected="0">
            <x v="1"/>
          </reference>
          <reference field="1" count="1" selected="0">
            <x v="11"/>
          </reference>
        </references>
      </pivotArea>
    </chartFormat>
    <chartFormat chart="2" format="9">
      <pivotArea type="data" outline="0" fieldPosition="0">
        <references count="2">
          <reference field="4294967294" count="1" selected="0">
            <x v="1"/>
          </reference>
          <reference field="1" count="1" selected="0">
            <x v="12"/>
          </reference>
        </references>
      </pivotArea>
    </chartFormat>
    <chartFormat chart="2" format="10">
      <pivotArea type="data" outline="0" fieldPosition="0">
        <references count="2">
          <reference field="4294967294" count="1" selected="0">
            <x v="0"/>
          </reference>
          <reference field="1" count="1" selected="0">
            <x v="23"/>
          </reference>
        </references>
      </pivotArea>
    </chartFormat>
    <chartFormat chart="2" format="11">
      <pivotArea type="data" outline="0" fieldPosition="0">
        <references count="2">
          <reference field="4294967294" count="1" selected="0">
            <x v="0"/>
          </reference>
          <reference field="1" count="1" selected="0">
            <x v="19"/>
          </reference>
        </references>
      </pivotArea>
    </chartFormat>
    <chartFormat chart="2" format="12">
      <pivotArea type="data" outline="0" fieldPosition="0">
        <references count="2">
          <reference field="4294967294" count="1" selected="0">
            <x v="0"/>
          </reference>
          <reference field="1" count="1" selected="0">
            <x v="8"/>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1" count="1" selected="0">
            <x v="23"/>
          </reference>
        </references>
      </pivotArea>
    </chartFormat>
    <chartFormat chart="9" format="28">
      <pivotArea type="data" outline="0" fieldPosition="0">
        <references count="2">
          <reference field="4294967294" count="1" selected="0">
            <x v="0"/>
          </reference>
          <reference field="1" count="1" selected="0">
            <x v="26"/>
          </reference>
        </references>
      </pivotArea>
    </chartFormat>
    <chartFormat chart="9" format="29">
      <pivotArea type="data" outline="0" fieldPosition="0">
        <references count="2">
          <reference field="4294967294" count="1" selected="0">
            <x v="0"/>
          </reference>
          <reference field="1" count="1" selected="0">
            <x v="12"/>
          </reference>
        </references>
      </pivotArea>
    </chartFormat>
    <chartFormat chart="9" format="30">
      <pivotArea type="data" outline="0" fieldPosition="0">
        <references count="2">
          <reference field="4294967294" count="1" selected="0">
            <x v="0"/>
          </reference>
          <reference field="1" count="1" selected="0">
            <x v="19"/>
          </reference>
        </references>
      </pivotArea>
    </chartFormat>
    <chartFormat chart="9" format="31">
      <pivotArea type="data" outline="0" fieldPosition="0">
        <references count="2">
          <reference field="4294967294" count="1" selected="0">
            <x v="0"/>
          </reference>
          <reference field="1" count="1" selected="0">
            <x v="8"/>
          </reference>
        </references>
      </pivotArea>
    </chartFormat>
    <chartFormat chart="9" format="32" series="1">
      <pivotArea type="data" outline="0" fieldPosition="0">
        <references count="1">
          <reference field="4294967294" count="1" selected="0">
            <x v="1"/>
          </reference>
        </references>
      </pivotArea>
    </chartFormat>
    <chartFormat chart="9" format="33">
      <pivotArea type="data" outline="0" fieldPosition="0">
        <references count="2">
          <reference field="4294967294" count="1" selected="0">
            <x v="1"/>
          </reference>
          <reference field="1" count="1" selected="0">
            <x v="11"/>
          </reference>
        </references>
      </pivotArea>
    </chartFormat>
    <chartFormat chart="9" format="34">
      <pivotArea type="data" outline="0" fieldPosition="0">
        <references count="2">
          <reference field="4294967294" count="1" selected="0">
            <x v="1"/>
          </reference>
          <reference field="1" count="1" selected="0">
            <x v="23"/>
          </reference>
        </references>
      </pivotArea>
    </chartFormat>
    <chartFormat chart="9" format="35">
      <pivotArea type="data" outline="0" fieldPosition="0">
        <references count="2">
          <reference field="4294967294" count="1" selected="0">
            <x v="1"/>
          </reference>
          <reference field="1" count="1" selected="0">
            <x v="26"/>
          </reference>
        </references>
      </pivotArea>
    </chartFormat>
    <chartFormat chart="9" format="36">
      <pivotArea type="data" outline="0" fieldPosition="0">
        <references count="2">
          <reference field="4294967294" count="1" selected="0">
            <x v="1"/>
          </reference>
          <reference field="1" count="1" selected="0">
            <x v="12"/>
          </reference>
        </references>
      </pivotArea>
    </chartFormat>
    <chartFormat chart="9" format="37">
      <pivotArea type="data" outline="0" fieldPosition="0">
        <references count="2">
          <reference field="4294967294" count="1" selected="0">
            <x v="1"/>
          </reference>
          <reference field="1" count="1" selected="0">
            <x v="19"/>
          </reference>
        </references>
      </pivotArea>
    </chartFormat>
    <chartFormat chart="9" format="38">
      <pivotArea type="data" outline="0" fieldPosition="0">
        <references count="2">
          <reference field="4294967294" count="1" selected="0">
            <x v="1"/>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79693E-5773-4EE6-BF82-E47B80D5809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D9" firstHeaderRow="0"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dataField="1" showAll="0"/>
    <pivotField dataField="1" showAll="0"/>
    <pivotField numFmtId="2" showAll="0"/>
    <pivotField numFmtId="2"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s>
  <rowFields count="1">
    <field x="1"/>
  </rowFields>
  <rowItems count="6">
    <i>
      <x v="11"/>
    </i>
    <i>
      <x v="26"/>
    </i>
    <i>
      <x v="23"/>
    </i>
    <i>
      <x v="19"/>
    </i>
    <i>
      <x v="12"/>
    </i>
    <i>
      <x v="8"/>
    </i>
  </rowItems>
  <colFields count="1">
    <field x="-2"/>
  </colFields>
  <colItems count="3">
    <i>
      <x/>
    </i>
    <i i="1">
      <x v="1"/>
    </i>
    <i i="2">
      <x v="2"/>
    </i>
  </colItems>
  <dataFields count="3">
    <dataField name="Men" fld="7" baseField="1" baseItem="25"/>
    <dataField name="Women" fld="8" baseField="1" baseItem="25"/>
    <dataField name="Children" fld="9" baseField="1" baseItem="25"/>
  </dataFields>
  <formats count="1">
    <format dxfId="1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7F96BF-1234-4BB3-837A-C88BA427AA8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C9" firstHeaderRow="0"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dataField="1" showAll="0"/>
    <pivotField dataField="1" showAll="0"/>
    <pivotField showAll="0"/>
    <pivotField showAll="0">
      <items count="6">
        <item x="3"/>
        <item x="2"/>
        <item x="0"/>
        <item x="1"/>
        <item x="4"/>
        <item t="default"/>
      </items>
    </pivotField>
  </pivotFields>
  <rowFields count="1">
    <field x="1"/>
  </rowFields>
  <rowItems count="6">
    <i>
      <x v="23"/>
    </i>
    <i>
      <x v="8"/>
    </i>
    <i>
      <x v="12"/>
    </i>
    <i>
      <x v="19"/>
    </i>
    <i>
      <x v="26"/>
    </i>
    <i>
      <x v="11"/>
    </i>
  </rowItems>
  <colFields count="1">
    <field x="-2"/>
  </colFields>
  <colItems count="2">
    <i>
      <x/>
    </i>
    <i i="1">
      <x v="1"/>
    </i>
  </colItems>
  <dataFields count="2">
    <dataField name="Journalists" fld="18" baseField="1" baseItem="23"/>
    <dataField name="Aid Workers" fld="19" baseField="1" baseItem="2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8"/>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8"/>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48333E-DA43-4D41-9EAD-ACD946C67BF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C9" firstHeaderRow="0" firstDataRow="1" firstDataCol="1"/>
  <pivotFields count="22">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howAll="0" sortType="descending">
      <items count="29">
        <item h="1" x="0"/>
        <item h="1" x="12"/>
        <item h="1" x="16"/>
        <item h="1" x="13"/>
        <item h="1" x="4"/>
        <item h="1" x="17"/>
        <item h="1" x="18"/>
        <item h="1" x="19"/>
        <item x="23"/>
        <item h="1" x="10"/>
        <item h="1" x="26"/>
        <item x="8"/>
        <item x="14"/>
        <item h="1" m="1" x="27"/>
        <item h="1" x="15"/>
        <item h="1" x="11"/>
        <item h="1" x="21"/>
        <item h="1" x="9"/>
        <item h="1" x="24"/>
        <item x="6"/>
        <item h="1" x="7"/>
        <item h="1" x="2"/>
        <item h="1" x="1"/>
        <item x="20"/>
        <item h="1" x="25"/>
        <item h="1" x="3"/>
        <item x="2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2" showAll="0"/>
    <pivotField numFmtId="2" showAll="0"/>
    <pivotField dataField="1" showAll="0">
      <items count="20">
        <item x="18"/>
        <item x="13"/>
        <item x="12"/>
        <item x="17"/>
        <item x="14"/>
        <item x="3"/>
        <item x="4"/>
        <item x="10"/>
        <item x="9"/>
        <item x="1"/>
        <item x="0"/>
        <item x="7"/>
        <item x="2"/>
        <item x="16"/>
        <item x="5"/>
        <item x="11"/>
        <item x="6"/>
        <item x="15"/>
        <item x="8"/>
        <item t="default"/>
      </items>
    </pivotField>
    <pivotField dataField="1" showAll="0">
      <items count="19">
        <item x="17"/>
        <item x="3"/>
        <item x="6"/>
        <item x="13"/>
        <item x="1"/>
        <item x="11"/>
        <item x="2"/>
        <item x="0"/>
        <item x="4"/>
        <item x="8"/>
        <item x="9"/>
        <item x="12"/>
        <item x="16"/>
        <item x="5"/>
        <item x="15"/>
        <item x="7"/>
        <item x="14"/>
        <item x="10"/>
        <item t="default"/>
      </items>
    </pivotField>
    <pivotField showAll="0"/>
    <pivotField showAll="0"/>
    <pivotField showAll="0"/>
    <pivotField showAll="0"/>
    <pivotField showAll="0"/>
    <pivotField showAll="0"/>
    <pivotField showAll="0"/>
    <pivotField showAll="0">
      <items count="6">
        <item x="3"/>
        <item x="2"/>
        <item x="0"/>
        <item x="1"/>
        <item x="4"/>
        <item t="default"/>
      </items>
    </pivotField>
  </pivotFields>
  <rowFields count="1">
    <field x="1"/>
  </rowFields>
  <rowItems count="6">
    <i>
      <x v="23"/>
    </i>
    <i>
      <x v="11"/>
    </i>
    <i>
      <x v="26"/>
    </i>
    <i>
      <x v="12"/>
    </i>
    <i>
      <x v="19"/>
    </i>
    <i>
      <x v="8"/>
    </i>
  </rowItems>
  <colFields count="1">
    <field x="-2"/>
  </colFields>
  <colItems count="2">
    <i>
      <x/>
    </i>
    <i i="1">
      <x v="1"/>
    </i>
  </colItems>
  <dataFields count="2">
    <dataField name="Total pows_taken" fld="12" baseField="1" baseItem="23"/>
    <dataField name="Total missing_persons" fld="13" baseField="1" baseItem="23"/>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9"/>
          </reference>
        </references>
      </pivotArea>
    </chartFormat>
    <chartFormat chart="0" format="3">
      <pivotArea type="data" outline="0" fieldPosition="0">
        <references count="2">
          <reference field="4294967294" count="1" selected="0">
            <x v="0"/>
          </reference>
          <reference field="1" count="1" selected="0">
            <x v="19"/>
          </reference>
        </references>
      </pivotArea>
    </chartFormat>
    <chartFormat chart="0" format="4">
      <pivotArea type="data" outline="0" fieldPosition="0">
        <references count="2">
          <reference field="4294967294" count="1" selected="0">
            <x v="1"/>
          </reference>
          <reference field="1" count="1" selected="0">
            <x v="12"/>
          </reference>
        </references>
      </pivotArea>
    </chartFormat>
    <chartFormat chart="0" format="5">
      <pivotArea type="data" outline="0" fieldPosition="0">
        <references count="2">
          <reference field="4294967294" count="1" selected="0">
            <x v="1"/>
          </reference>
          <reference field="1" count="1" selected="0">
            <x v="26"/>
          </reference>
        </references>
      </pivotArea>
    </chartFormat>
    <chartFormat chart="0" format="6">
      <pivotArea type="data" outline="0" fieldPosition="0">
        <references count="2">
          <reference field="4294967294" count="1" selected="0">
            <x v="0"/>
          </reference>
          <reference field="1" count="1" selected="0">
            <x v="26"/>
          </reference>
        </references>
      </pivotArea>
    </chartFormat>
    <chartFormat chart="0" format="7">
      <pivotArea type="data" outline="0" fieldPosition="0">
        <references count="2">
          <reference field="4294967294" count="1" selected="0">
            <x v="1"/>
          </reference>
          <reference field="1" count="1" selected="0">
            <x v="11"/>
          </reference>
        </references>
      </pivotArea>
    </chartFormat>
    <chartFormat chart="0" format="8">
      <pivotArea type="data" outline="0" fieldPosition="0">
        <references count="2">
          <reference field="4294967294" count="1" selected="0">
            <x v="1"/>
          </reference>
          <reference field="1" count="1" selected="0">
            <x v="9"/>
          </reference>
        </references>
      </pivotArea>
    </chartFormat>
    <chartFormat chart="0" format="9">
      <pivotArea type="data" outline="0" fieldPosition="0">
        <references count="2">
          <reference field="4294967294" count="1" selected="0">
            <x v="0"/>
          </reference>
          <reference field="1" count="1" selected="0">
            <x v="23"/>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1" count="1" selected="0">
            <x v="23"/>
          </reference>
        </references>
      </pivotArea>
    </chartFormat>
    <chartFormat chart="6" format="22">
      <pivotArea type="data" outline="0" fieldPosition="0">
        <references count="2">
          <reference field="4294967294" count="1" selected="0">
            <x v="0"/>
          </reference>
          <reference field="1" count="1" selected="0">
            <x v="26"/>
          </reference>
        </references>
      </pivotArea>
    </chartFormat>
    <chartFormat chart="6" format="23">
      <pivotArea type="data" outline="0" fieldPosition="0">
        <references count="2">
          <reference field="4294967294" count="1" selected="0">
            <x v="0"/>
          </reference>
          <reference field="1" count="1" selected="0">
            <x v="19"/>
          </reference>
        </references>
      </pivotArea>
    </chartFormat>
    <chartFormat chart="6" format="24" series="1">
      <pivotArea type="data" outline="0" fieldPosition="0">
        <references count="1">
          <reference field="4294967294" count="1" selected="0">
            <x v="1"/>
          </reference>
        </references>
      </pivotArea>
    </chartFormat>
    <chartFormat chart="6" format="25">
      <pivotArea type="data" outline="0" fieldPosition="0">
        <references count="2">
          <reference field="4294967294" count="1" selected="0">
            <x v="1"/>
          </reference>
          <reference field="1" count="1" selected="0">
            <x v="9"/>
          </reference>
        </references>
      </pivotArea>
    </chartFormat>
    <chartFormat chart="6" format="26">
      <pivotArea type="data" outline="0" fieldPosition="0">
        <references count="2">
          <reference field="4294967294" count="1" selected="0">
            <x v="1"/>
          </reference>
          <reference field="1" count="1" selected="0">
            <x v="11"/>
          </reference>
        </references>
      </pivotArea>
    </chartFormat>
    <chartFormat chart="6" format="27">
      <pivotArea type="data" outline="0" fieldPosition="0">
        <references count="2">
          <reference field="4294967294" count="1" selected="0">
            <x v="1"/>
          </reference>
          <reference field="1" count="1" selected="0">
            <x v="26"/>
          </reference>
        </references>
      </pivotArea>
    </chartFormat>
    <chartFormat chart="6" format="28">
      <pivotArea type="data" outline="0" fieldPosition="0">
        <references count="2">
          <reference field="4294967294" count="1" selected="0">
            <x v="1"/>
          </reference>
          <reference field="1" count="1" selected="0">
            <x v="12"/>
          </reference>
        </references>
      </pivotArea>
    </chartFormat>
    <chartFormat chart="6" format="29">
      <pivotArea type="data" outline="0" fieldPosition="0">
        <references count="2">
          <reference field="4294967294" count="1" selected="0">
            <x v="1"/>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D39466-DEEE-465F-80E9-C4A8963F08E9}" autoFormatId="16" applyNumberFormats="0" applyBorderFormats="0" applyFontFormats="0" applyPatternFormats="0" applyAlignmentFormats="0" applyWidthHeightFormats="0">
  <queryTableRefresh nextId="24">
    <queryTableFields count="23">
      <queryTableField id="1" name="conflict_id" tableColumnId="1"/>
      <queryTableField id="2" name="conflict_name" tableColumnId="2"/>
      <queryTableField id="3" name="total_dead_est_low" tableColumnId="3"/>
      <queryTableField id="4" name="total_dead_est_high" tableColumnId="4"/>
      <queryTableField id="5" name="military_killed_side_A" tableColumnId="5"/>
      <queryTableField id="6" name="military_killed_side_B" tableColumnId="6"/>
      <queryTableField id="7" name="civilian_killed_est" tableColumnId="7"/>
      <queryTableField id="8" name="civ_men_pct" tableColumnId="8"/>
      <queryTableField id="9" name="civ_women_pct" tableColumnId="9"/>
      <queryTableField id="10" name="civ_children_pct" tableColumnId="10"/>
      <queryTableField id="11" name="civ_children_abs_est" tableColumnId="11"/>
      <queryTableField id="12" name="wounded_total_est" tableColumnId="12"/>
      <queryTableField id="13" name="pows_taken" tableColumnId="13"/>
      <queryTableField id="14" name="missing_persons" tableColumnId="14"/>
      <queryTableField id="15" name="displaced_persons" tableColumnId="15"/>
      <queryTableField id="16" name="refugees_abroad" tableColumnId="16"/>
      <queryTableField id="17" name="total_affected_pop" tableColumnId="17"/>
      <queryTableField id="23" dataBound="0" tableColumnId="23"/>
      <queryTableField id="18" name="famine_disease_deaths_indirect" tableColumnId="18"/>
      <queryTableField id="19" name="journalists_killed" tableColumnId="19"/>
      <queryTableField id="20" name="aid_workers_killed" tableColumnId="20"/>
      <queryTableField id="21" name="data_source" tableColumnId="21"/>
      <queryTableField id="22" name="reliability_scor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lict_id" xr10:uid="{798E4D76-1F4A-4DBD-B342-CA323BAAD808}" sourceName="conflict_id">
  <pivotTables>
    <pivotTable tabId="5" name="PivotTable3"/>
    <pivotTable tabId="6" name="PivotTable4"/>
    <pivotTable tabId="7" name="PivotTable5"/>
    <pivotTable tabId="14" name="PivotTable2"/>
    <pivotTable tabId="9" name="PivotTable2"/>
    <pivotTable tabId="13" name="PivotTable1"/>
    <pivotTable tabId="10" name="PivotTable3"/>
    <pivotTable tabId="16" name="PivotTable2"/>
    <pivotTable tabId="12" name="PivotTable5"/>
  </pivotTables>
  <data>
    <tabular pivotCacheId="1290616208">
      <items count="27">
        <i x="6" s="1"/>
        <i x="8" s="1"/>
        <i x="14" s="1"/>
        <i x="20" s="1"/>
        <i x="22" s="1"/>
        <i x="23" s="1"/>
        <i x="0" s="1" nd="1"/>
        <i x="1" s="1" nd="1"/>
        <i x="2" s="1" nd="1"/>
        <i x="3" s="1" nd="1"/>
        <i x="4" s="1" nd="1"/>
        <i x="5" s="1" nd="1"/>
        <i x="7" s="1" nd="1"/>
        <i x="9" s="1" nd="1"/>
        <i x="10" s="1" nd="1"/>
        <i x="11" s="1" nd="1"/>
        <i x="12" s="1" nd="1"/>
        <i x="13" s="1" nd="1"/>
        <i x="15" s="1" nd="1"/>
        <i x="16" s="1" nd="1"/>
        <i x="17" s="1" nd="1"/>
        <i x="18" s="1" nd="1"/>
        <i x="19" s="1" nd="1"/>
        <i x="21" s="1" nd="1"/>
        <i x="24" s="1" nd="1"/>
        <i x="25" s="1" nd="1"/>
        <i x="2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lict_name" xr10:uid="{FB041C83-F751-42C6-9EF5-7D13075A1CAE}" sourceName="conflict_name">
  <pivotTables>
    <pivotTable tabId="5" name="PivotTable3"/>
    <pivotTable tabId="6" name="PivotTable4"/>
    <pivotTable tabId="7" name="PivotTable5"/>
    <pivotTable tabId="14" name="PivotTable2"/>
    <pivotTable tabId="9" name="PivotTable2"/>
    <pivotTable tabId="13" name="PivotTable1"/>
    <pivotTable tabId="10" name="PivotTable3"/>
    <pivotTable tabId="16" name="PivotTable2"/>
    <pivotTable tabId="12" name="PivotTable5"/>
  </pivotTables>
  <data>
    <tabular pivotCacheId="1290616208">
      <items count="28">
        <i x="0"/>
        <i x="12"/>
        <i x="16"/>
        <i x="13"/>
        <i x="4"/>
        <i x="17"/>
        <i x="18"/>
        <i x="19"/>
        <i x="23" s="1"/>
        <i x="10"/>
        <i x="26"/>
        <i x="8" s="1"/>
        <i x="14" s="1"/>
        <i x="15"/>
        <i x="11"/>
        <i x="21"/>
        <i x="9"/>
        <i x="24"/>
        <i x="6" s="1"/>
        <i x="7"/>
        <i x="2"/>
        <i x="1"/>
        <i x="20" s="1"/>
        <i x="25"/>
        <i x="3"/>
        <i x="22" s="1"/>
        <i x="5"/>
        <i x="2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iability_score" xr10:uid="{29E4E4D6-7062-4BF8-AA55-9079FD7DC9C9}" sourceName="reliability_score">
  <pivotTables>
    <pivotTable tabId="5" name="PivotTable3"/>
    <pivotTable tabId="6" name="PivotTable4"/>
    <pivotTable tabId="7" name="PivotTable5"/>
    <pivotTable tabId="14" name="PivotTable2"/>
    <pivotTable tabId="9" name="PivotTable2"/>
    <pivotTable tabId="13" name="PivotTable1"/>
    <pivotTable tabId="10" name="PivotTable3"/>
    <pivotTable tabId="16" name="PivotTable2"/>
    <pivotTable tabId="12" name="PivotTable5"/>
  </pivotTables>
  <data>
    <tabular pivotCacheId="1290616208">
      <items count="5">
        <i x="3" s="1"/>
        <i x="2"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flict_id" xr10:uid="{EF41D8D6-5A21-4F84-8A88-2C7718342B09}" cache="Slicer_conflict_id" caption="conflict_id" startItem="16" rowHeight="234950"/>
  <slicer name="conflict_name" xr10:uid="{6C3736BF-0F30-456E-A9CA-138820BAE375}" cache="Slicer_conflict_name" caption="conflict_name" rowHeight="234950"/>
  <slicer name="reliability_score" xr10:uid="{88785FDD-2382-47B8-B7BD-6D5B25559D6B}" cache="Slicer_reliability_score" caption="reliability_scor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780F6-4AFB-4B60-A1B4-50E191A541B3}" name="_02_Casualties_Detail___02_Casualties_Detail" displayName="_02_Casualties_Detail___02_Casualties_Detail" ref="A1:W29" tableType="queryTable" totalsRowCount="1">
  <autoFilter ref="A1:W28" xr:uid="{3F6780F6-4AFB-4B60-A1B4-50E191A541B3}"/>
  <tableColumns count="23">
    <tableColumn id="1" xr3:uid="{747B6186-FC15-4812-AF53-D9999BF86813}" uniqueName="1" name="conflict_id" queryTableFieldId="1" dataDxfId="17"/>
    <tableColumn id="2" xr3:uid="{D6846FF7-F190-415C-B102-094922A77836}" uniqueName="2" name="conflict_name" totalsRowFunction="count" queryTableFieldId="2" dataDxfId="16"/>
    <tableColumn id="3" xr3:uid="{88A8DB9B-C861-41C2-BBB8-D0F785BDD865}" uniqueName="3" name="total_dead_est_low" queryTableFieldId="3"/>
    <tableColumn id="4" xr3:uid="{042250E9-D3B3-4E0D-8455-F00D128CDDF2}" uniqueName="4" name="total_dead_est_high" queryTableFieldId="4"/>
    <tableColumn id="5" xr3:uid="{CC14997D-FC75-41E9-8384-0EC2DBD9A3C5}" uniqueName="5" name="military_killed_side_A" queryTableFieldId="5"/>
    <tableColumn id="6" xr3:uid="{8C3A3605-92E6-4A4E-BD80-380A11537C16}" uniqueName="6" name="military_killed_side_B" queryTableFieldId="6"/>
    <tableColumn id="7" xr3:uid="{93E68B93-A59A-4DBF-B925-3208EE1990C8}" uniqueName="7" name="civilian_killed_est" totalsRowFunction="sum" queryTableFieldId="7"/>
    <tableColumn id="8" xr3:uid="{FD18A504-BF7A-46FA-ADE6-9E896851B564}" uniqueName="8" name="civ_men_pct" queryTableFieldId="8"/>
    <tableColumn id="9" xr3:uid="{D1A86DB5-E850-4093-B87E-FAE687E0B5D2}" uniqueName="9" name="civ_women_pct" queryTableFieldId="9"/>
    <tableColumn id="10" xr3:uid="{BE0508D0-E14C-4BE9-A4CE-11B0C8945CD8}" uniqueName="10" name="civ_children_pct" queryTableFieldId="10"/>
    <tableColumn id="11" xr3:uid="{2C0F6566-66A1-46DD-BA99-2B53000B7321}" uniqueName="11" name="civ_children_abs_est" queryTableFieldId="11" dataDxfId="15" totalsRowDxfId="14"/>
    <tableColumn id="12" xr3:uid="{0EDCCC1A-55A1-4099-A36C-30E14868D59A}" uniqueName="12" name="wounded_total_est" totalsRowFunction="sum" queryTableFieldId="12" dataDxfId="13" totalsRowDxfId="12"/>
    <tableColumn id="13" xr3:uid="{DD9B0243-528A-4FD6-BE5A-254CA574AA9F}" uniqueName="13" name="pows_taken" queryTableFieldId="13" dataDxfId="11" totalsRowDxfId="10"/>
    <tableColumn id="14" xr3:uid="{C05BFF4B-06C5-4B76-B69F-512955CF6E32}" uniqueName="14" name="missing_persons" queryTableFieldId="14" dataDxfId="9" totalsRowDxfId="8"/>
    <tableColumn id="15" xr3:uid="{0E6C197A-71EA-4A54-BCC4-07FAAA2D66B4}" uniqueName="15" name="displaced_persons" totalsRowFunction="sum" queryTableFieldId="15" dataDxfId="7" totalsRowDxfId="6"/>
    <tableColumn id="16" xr3:uid="{E945F0BD-B577-49C1-9343-02E78C88A5AF}" uniqueName="16" name="refugees_abroad" totalsRowFunction="sum" queryTableFieldId="16" dataDxfId="5" totalsRowDxfId="4"/>
    <tableColumn id="17" xr3:uid="{2C977239-F149-4DB6-8BF9-1FEC395E31A9}" uniqueName="17" name="total_affected_pop" queryTableFieldId="17" dataDxfId="3"/>
    <tableColumn id="23" xr3:uid="{E1886436-A2FE-4D7A-8D84-67C94CAE502F}" uniqueName="23" name="total_affected_pop2" totalsRowFunction="sum" queryTableFieldId="23" dataDxfId="2" totalsRowDxfId="1">
      <calculatedColumnFormula>IF(ISNUMBER(SEARCH("M",Q2)),VALUE(SUBSTITUTE(SUBSTITUTE(LOWER(Q2),"m affected",""),"m",""))*1000000,IF(ISNUMBER(SEARCH("K",Q2)),VALUE(SUBSTITUTE(LOWER(Q2),"k",""))*1000,VALUE(Q2)))</calculatedColumnFormula>
    </tableColumn>
    <tableColumn id="18" xr3:uid="{804153FD-30AF-455D-B9B0-EA71CF0BCFAF}" uniqueName="18" name="famine_disease_deaths_indirect" queryTableFieldId="18"/>
    <tableColumn id="19" xr3:uid="{75FA9CD0-CA2B-4884-AFBC-4F3A1894F581}" uniqueName="19" name="journalists_killed" totalsRowFunction="sum" queryTableFieldId="19"/>
    <tableColumn id="20" xr3:uid="{465531E9-0E5A-42DA-B64A-362F2DE03567}" uniqueName="20" name="aid_workers_killed" queryTableFieldId="20"/>
    <tableColumn id="21" xr3:uid="{BA1A35F9-707F-4F5D-B5C6-FF0E506DBC54}" uniqueName="21" name="data_source" queryTableFieldId="21" dataDxfId="0"/>
    <tableColumn id="22" xr3:uid="{2D8A7536-5F01-46FF-8F6A-ADE447B7F7E6}" uniqueName="22" name="reliability_score"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A741-6422-4E2A-8758-B39D94F11094}">
  <dimension ref="A1:W29"/>
  <sheetViews>
    <sheetView topLeftCell="N3" zoomScale="95" workbookViewId="0">
      <selection activeCell="P26" sqref="P26"/>
    </sheetView>
  </sheetViews>
  <sheetFormatPr defaultRowHeight="15" x14ac:dyDescent="0.25"/>
  <cols>
    <col min="1" max="1" width="12" bestFit="1" customWidth="1"/>
    <col min="2" max="2" width="28.85546875" bestFit="1" customWidth="1"/>
    <col min="3" max="3" width="20" bestFit="1" customWidth="1"/>
    <col min="4" max="4" width="20.7109375" bestFit="1" customWidth="1"/>
    <col min="5" max="6" width="21.7109375" bestFit="1" customWidth="1"/>
    <col min="7" max="7" width="18" bestFit="1" customWidth="1"/>
    <col min="8" max="8" width="14" bestFit="1" customWidth="1"/>
    <col min="9" max="9" width="16.7109375" bestFit="1" customWidth="1"/>
    <col min="10" max="10" width="17.140625" bestFit="1" customWidth="1"/>
    <col min="11" max="11" width="20.85546875" style="4" bestFit="1" customWidth="1"/>
    <col min="12" max="12" width="19.7109375" style="1" bestFit="1" customWidth="1"/>
    <col min="13" max="13" width="13.42578125" style="4" bestFit="1" customWidth="1"/>
    <col min="14" max="14" width="17.140625" style="4" bestFit="1" customWidth="1"/>
    <col min="15" max="15" width="18.7109375" style="4" bestFit="1" customWidth="1"/>
    <col min="16" max="16" width="17.5703125" style="4" bestFit="1" customWidth="1"/>
    <col min="17" max="17" width="19.7109375" bestFit="1" customWidth="1"/>
    <col min="18" max="18" width="19.7109375" customWidth="1"/>
    <col min="19" max="19" width="30.7109375" bestFit="1" customWidth="1"/>
    <col min="20" max="20" width="17.42578125" bestFit="1" customWidth="1"/>
    <col min="21" max="21" width="19" bestFit="1" customWidth="1"/>
    <col min="22" max="22" width="38.7109375" bestFit="1" customWidth="1"/>
    <col min="23" max="23" width="16.42578125" bestFit="1" customWidth="1"/>
  </cols>
  <sheetData>
    <row r="1" spans="1:23" x14ac:dyDescent="0.25">
      <c r="A1" t="s">
        <v>0</v>
      </c>
      <c r="B1" t="s">
        <v>1</v>
      </c>
      <c r="C1" t="s">
        <v>2</v>
      </c>
      <c r="D1" t="s">
        <v>3</v>
      </c>
      <c r="E1" t="s">
        <v>4</v>
      </c>
      <c r="F1" t="s">
        <v>5</v>
      </c>
      <c r="G1" t="s">
        <v>6</v>
      </c>
      <c r="H1" t="s">
        <v>7</v>
      </c>
      <c r="I1" t="s">
        <v>8</v>
      </c>
      <c r="J1" t="s">
        <v>9</v>
      </c>
      <c r="K1" s="4" t="s">
        <v>10</v>
      </c>
      <c r="L1" s="1" t="s">
        <v>11</v>
      </c>
      <c r="M1" s="4" t="s">
        <v>12</v>
      </c>
      <c r="N1" s="4" t="s">
        <v>13</v>
      </c>
      <c r="O1" s="4" t="s">
        <v>14</v>
      </c>
      <c r="P1" s="4" t="s">
        <v>15</v>
      </c>
      <c r="Q1" t="s">
        <v>16</v>
      </c>
      <c r="R1" t="s">
        <v>128</v>
      </c>
      <c r="S1" t="s">
        <v>17</v>
      </c>
      <c r="T1" t="s">
        <v>18</v>
      </c>
      <c r="U1" t="s">
        <v>19</v>
      </c>
      <c r="V1" t="s">
        <v>20</v>
      </c>
      <c r="W1" t="s">
        <v>21</v>
      </c>
    </row>
    <row r="2" spans="1:23" x14ac:dyDescent="0.25">
      <c r="A2" t="s">
        <v>22</v>
      </c>
      <c r="B2" t="s">
        <v>23</v>
      </c>
      <c r="C2">
        <v>6000</v>
      </c>
      <c r="D2">
        <v>15000</v>
      </c>
      <c r="E2">
        <v>4074</v>
      </c>
      <c r="F2">
        <v>6000</v>
      </c>
      <c r="G2">
        <v>3500</v>
      </c>
      <c r="H2">
        <v>0.45</v>
      </c>
      <c r="I2">
        <v>0.25</v>
      </c>
      <c r="J2">
        <v>0.3</v>
      </c>
      <c r="K2" s="4">
        <v>1050</v>
      </c>
      <c r="L2" s="4">
        <v>20000</v>
      </c>
      <c r="M2" s="4">
        <v>7000</v>
      </c>
      <c r="N2" s="4">
        <v>1200</v>
      </c>
      <c r="O2" s="4">
        <v>750000</v>
      </c>
      <c r="P2" s="4">
        <v>700000</v>
      </c>
      <c r="Q2">
        <v>4000000</v>
      </c>
      <c r="R2" s="4">
        <f t="shared" ref="R2:R28" si="0">IF(ISNUMBER(SEARCH("M",Q2)),VALUE(SUBSTITUTE(SUBSTITUTE(LOWER(Q2),"m affected",""),"m",""))*1000000,IF(ISNUMBER(SEARCH("K",Q2)),VALUE(SUBSTITUTE(LOWER(Q2),"k",""))*1000,VALUE(Q2)))</f>
        <v>4000000</v>
      </c>
      <c r="S2">
        <v>500</v>
      </c>
      <c r="T2">
        <v>2</v>
      </c>
      <c r="U2">
        <v>1</v>
      </c>
      <c r="V2" t="s">
        <v>24</v>
      </c>
      <c r="W2">
        <v>7</v>
      </c>
    </row>
    <row r="3" spans="1:23" x14ac:dyDescent="0.25">
      <c r="A3" t="s">
        <v>25</v>
      </c>
      <c r="B3" t="s">
        <v>26</v>
      </c>
      <c r="C3">
        <v>1000</v>
      </c>
      <c r="D3">
        <v>3200</v>
      </c>
      <c r="E3">
        <v>172</v>
      </c>
      <c r="F3">
        <v>2000</v>
      </c>
      <c r="G3">
        <v>600</v>
      </c>
      <c r="H3">
        <v>0.5</v>
      </c>
      <c r="I3">
        <v>0.2</v>
      </c>
      <c r="J3">
        <v>0.3</v>
      </c>
      <c r="K3" s="4">
        <v>180</v>
      </c>
      <c r="L3" s="4">
        <v>4000</v>
      </c>
      <c r="M3" s="4">
        <v>6000</v>
      </c>
      <c r="N3" s="4">
        <v>500</v>
      </c>
      <c r="O3" s="4">
        <v>230000</v>
      </c>
      <c r="P3" s="4">
        <v>50000</v>
      </c>
      <c r="Q3">
        <v>500000</v>
      </c>
      <c r="R3" s="4">
        <f t="shared" si="0"/>
        <v>500000</v>
      </c>
      <c r="S3">
        <v>100</v>
      </c>
      <c r="T3">
        <v>0</v>
      </c>
      <c r="U3">
        <v>0</v>
      </c>
      <c r="V3" t="s">
        <v>27</v>
      </c>
      <c r="W3">
        <v>7</v>
      </c>
    </row>
    <row r="4" spans="1:23" x14ac:dyDescent="0.25">
      <c r="A4" t="s">
        <v>28</v>
      </c>
      <c r="B4" t="s">
        <v>29</v>
      </c>
      <c r="C4">
        <v>750</v>
      </c>
      <c r="D4">
        <v>21000</v>
      </c>
      <c r="E4">
        <v>700</v>
      </c>
      <c r="F4">
        <v>15000</v>
      </c>
      <c r="G4">
        <v>1000</v>
      </c>
      <c r="H4">
        <v>0.55000000000000004</v>
      </c>
      <c r="I4">
        <v>0.2</v>
      </c>
      <c r="J4">
        <v>0.25</v>
      </c>
      <c r="K4" s="4">
        <v>250</v>
      </c>
      <c r="L4" s="4">
        <v>45000</v>
      </c>
      <c r="M4" s="4">
        <v>10000</v>
      </c>
      <c r="N4" s="4">
        <v>1000</v>
      </c>
      <c r="O4" s="4">
        <v>350000</v>
      </c>
      <c r="P4" s="4">
        <v>300000</v>
      </c>
      <c r="Q4">
        <v>1000000</v>
      </c>
      <c r="R4" s="4">
        <f t="shared" si="0"/>
        <v>1000000</v>
      </c>
      <c r="S4">
        <v>200</v>
      </c>
      <c r="T4">
        <v>0</v>
      </c>
      <c r="U4">
        <v>0</v>
      </c>
      <c r="V4" t="s">
        <v>30</v>
      </c>
      <c r="W4">
        <v>8</v>
      </c>
    </row>
    <row r="5" spans="1:23" x14ac:dyDescent="0.25">
      <c r="A5" t="s">
        <v>31</v>
      </c>
      <c r="B5" t="s">
        <v>32</v>
      </c>
      <c r="C5">
        <v>500</v>
      </c>
      <c r="D5">
        <v>2000</v>
      </c>
      <c r="E5">
        <v>500</v>
      </c>
      <c r="F5">
        <v>10000</v>
      </c>
      <c r="G5">
        <v>300</v>
      </c>
      <c r="H5">
        <v>0.6</v>
      </c>
      <c r="I5">
        <v>0.2</v>
      </c>
      <c r="J5">
        <v>0.2</v>
      </c>
      <c r="K5" s="4">
        <v>60</v>
      </c>
      <c r="L5" s="4">
        <v>3000</v>
      </c>
      <c r="M5" s="4">
        <v>500</v>
      </c>
      <c r="N5" s="4">
        <v>200</v>
      </c>
      <c r="O5" s="4" t="s">
        <v>33</v>
      </c>
      <c r="P5" s="4" t="s">
        <v>33</v>
      </c>
      <c r="Q5">
        <v>300000</v>
      </c>
      <c r="R5" s="4">
        <f t="shared" si="0"/>
        <v>300000</v>
      </c>
      <c r="S5">
        <v>50</v>
      </c>
      <c r="T5">
        <v>0</v>
      </c>
      <c r="U5">
        <v>0</v>
      </c>
      <c r="V5" t="s">
        <v>34</v>
      </c>
      <c r="W5">
        <v>6</v>
      </c>
    </row>
    <row r="6" spans="1:23" x14ac:dyDescent="0.25">
      <c r="A6" t="s">
        <v>35</v>
      </c>
      <c r="B6" t="s">
        <v>36</v>
      </c>
      <c r="C6">
        <v>3000</v>
      </c>
      <c r="D6">
        <v>5000</v>
      </c>
      <c r="E6">
        <v>1200</v>
      </c>
      <c r="F6">
        <v>2300</v>
      </c>
      <c r="G6">
        <v>2000</v>
      </c>
      <c r="H6">
        <v>0.4</v>
      </c>
      <c r="I6">
        <v>0.3</v>
      </c>
      <c r="J6">
        <v>0.3</v>
      </c>
      <c r="K6" s="4">
        <v>600</v>
      </c>
      <c r="L6" s="4">
        <v>10000</v>
      </c>
      <c r="M6" s="4">
        <v>2000</v>
      </c>
      <c r="N6" s="4">
        <v>500</v>
      </c>
      <c r="O6" s="4">
        <v>100000</v>
      </c>
      <c r="P6" s="4">
        <v>50000</v>
      </c>
      <c r="Q6">
        <v>300000</v>
      </c>
      <c r="R6" s="4">
        <f t="shared" si="0"/>
        <v>300000</v>
      </c>
      <c r="S6">
        <v>200</v>
      </c>
      <c r="T6">
        <v>0</v>
      </c>
      <c r="U6">
        <v>0</v>
      </c>
      <c r="V6" t="s">
        <v>37</v>
      </c>
      <c r="W6">
        <v>5</v>
      </c>
    </row>
    <row r="7" spans="1:23" x14ac:dyDescent="0.25">
      <c r="A7" t="s">
        <v>38</v>
      </c>
      <c r="B7" t="s">
        <v>39</v>
      </c>
      <c r="C7">
        <v>2521</v>
      </c>
      <c r="D7">
        <v>18500</v>
      </c>
      <c r="E7">
        <v>2521</v>
      </c>
      <c r="F7">
        <v>8528</v>
      </c>
      <c r="G7">
        <v>1000</v>
      </c>
      <c r="H7">
        <v>0.55000000000000004</v>
      </c>
      <c r="I7">
        <v>0.2</v>
      </c>
      <c r="J7">
        <v>0.25</v>
      </c>
      <c r="K7" s="4">
        <v>250</v>
      </c>
      <c r="L7" s="4">
        <v>35000</v>
      </c>
      <c r="M7" s="4">
        <v>10000</v>
      </c>
      <c r="N7" s="4">
        <v>2000</v>
      </c>
      <c r="O7" s="4">
        <v>300000</v>
      </c>
      <c r="P7" s="4">
        <v>100000</v>
      </c>
      <c r="Q7">
        <v>1000000</v>
      </c>
      <c r="R7" s="4">
        <f t="shared" si="0"/>
        <v>1000000</v>
      </c>
      <c r="S7">
        <v>150</v>
      </c>
      <c r="T7">
        <v>0</v>
      </c>
      <c r="U7">
        <v>0</v>
      </c>
      <c r="V7" t="s">
        <v>40</v>
      </c>
      <c r="W7">
        <v>8</v>
      </c>
    </row>
    <row r="8" spans="1:23" x14ac:dyDescent="0.25">
      <c r="A8" t="s">
        <v>41</v>
      </c>
      <c r="B8" t="s">
        <v>42</v>
      </c>
      <c r="C8">
        <v>100000</v>
      </c>
      <c r="D8">
        <v>170000</v>
      </c>
      <c r="E8">
        <v>90000</v>
      </c>
      <c r="F8">
        <v>60000</v>
      </c>
      <c r="G8">
        <v>100000</v>
      </c>
      <c r="H8">
        <v>0.35</v>
      </c>
      <c r="I8">
        <v>0.3</v>
      </c>
      <c r="J8">
        <v>0.35</v>
      </c>
      <c r="K8" s="4">
        <v>35000</v>
      </c>
      <c r="L8" s="4">
        <v>300000</v>
      </c>
      <c r="M8" s="4">
        <v>15000</v>
      </c>
      <c r="N8" s="4">
        <v>17000</v>
      </c>
      <c r="O8" s="4">
        <v>1000000</v>
      </c>
      <c r="P8" s="4">
        <v>500000</v>
      </c>
      <c r="Q8">
        <v>3000000</v>
      </c>
      <c r="R8" s="4">
        <f t="shared" si="0"/>
        <v>3000000</v>
      </c>
      <c r="S8">
        <v>30000</v>
      </c>
      <c r="T8">
        <v>30</v>
      </c>
      <c r="U8">
        <v>20</v>
      </c>
      <c r="V8" t="s">
        <v>43</v>
      </c>
      <c r="W8">
        <v>5</v>
      </c>
    </row>
    <row r="9" spans="1:23" x14ac:dyDescent="0.25">
      <c r="A9" t="s">
        <v>44</v>
      </c>
      <c r="B9" t="s">
        <v>45</v>
      </c>
      <c r="C9">
        <v>1100</v>
      </c>
      <c r="D9">
        <v>2000</v>
      </c>
      <c r="E9">
        <v>900</v>
      </c>
      <c r="F9">
        <v>50</v>
      </c>
      <c r="G9">
        <v>1000</v>
      </c>
      <c r="H9">
        <v>0.4</v>
      </c>
      <c r="I9">
        <v>0.3</v>
      </c>
      <c r="J9">
        <v>0.3</v>
      </c>
      <c r="K9" s="4">
        <v>300</v>
      </c>
      <c r="L9" s="4">
        <v>4000</v>
      </c>
      <c r="M9" s="4">
        <v>500</v>
      </c>
      <c r="N9" s="4">
        <v>300</v>
      </c>
      <c r="O9" s="4">
        <v>250000</v>
      </c>
      <c r="P9" s="4">
        <v>50000</v>
      </c>
      <c r="Q9">
        <v>500000</v>
      </c>
      <c r="R9" s="4">
        <f t="shared" si="0"/>
        <v>500000</v>
      </c>
      <c r="S9">
        <v>200</v>
      </c>
      <c r="T9">
        <v>0</v>
      </c>
      <c r="U9">
        <v>1</v>
      </c>
      <c r="V9" t="s">
        <v>46</v>
      </c>
      <c r="W9">
        <v>6</v>
      </c>
    </row>
    <row r="10" spans="1:23" x14ac:dyDescent="0.25">
      <c r="A10" t="s">
        <v>47</v>
      </c>
      <c r="B10" t="s">
        <v>48</v>
      </c>
      <c r="C10">
        <v>500000</v>
      </c>
      <c r="D10">
        <v>1000000</v>
      </c>
      <c r="E10">
        <v>300000</v>
      </c>
      <c r="F10">
        <v>500000</v>
      </c>
      <c r="G10">
        <v>100000</v>
      </c>
      <c r="H10">
        <v>0.5</v>
      </c>
      <c r="I10">
        <v>0.2</v>
      </c>
      <c r="J10">
        <v>0.3</v>
      </c>
      <c r="K10" s="4">
        <v>30000</v>
      </c>
      <c r="L10" s="4">
        <v>1500000</v>
      </c>
      <c r="M10" s="4">
        <v>80000</v>
      </c>
      <c r="N10" s="4">
        <v>50000</v>
      </c>
      <c r="O10" s="4">
        <v>4000000</v>
      </c>
      <c r="P10" s="4">
        <v>2500000</v>
      </c>
      <c r="Q10">
        <v>1000000</v>
      </c>
      <c r="R10" s="4">
        <f t="shared" si="0"/>
        <v>1000000</v>
      </c>
      <c r="S10">
        <v>50000</v>
      </c>
      <c r="T10">
        <v>10</v>
      </c>
      <c r="U10">
        <v>5</v>
      </c>
      <c r="V10" t="s">
        <v>49</v>
      </c>
      <c r="W10">
        <v>5</v>
      </c>
    </row>
    <row r="11" spans="1:23" x14ac:dyDescent="0.25">
      <c r="A11" t="s">
        <v>50</v>
      </c>
      <c r="B11" t="s">
        <v>51</v>
      </c>
      <c r="C11">
        <v>6000</v>
      </c>
      <c r="D11">
        <v>18000</v>
      </c>
      <c r="E11">
        <v>368</v>
      </c>
      <c r="F11">
        <v>3000</v>
      </c>
      <c r="G11">
        <v>17500</v>
      </c>
      <c r="H11">
        <v>0.35</v>
      </c>
      <c r="I11">
        <v>0.3</v>
      </c>
      <c r="J11">
        <v>0.35</v>
      </c>
      <c r="K11" s="4">
        <v>6100</v>
      </c>
      <c r="L11" s="4">
        <v>30000</v>
      </c>
      <c r="M11" s="4">
        <v>8000</v>
      </c>
      <c r="N11" s="4">
        <v>3000</v>
      </c>
      <c r="O11" s="4">
        <v>800000</v>
      </c>
      <c r="P11" s="4">
        <v>400000</v>
      </c>
      <c r="Q11">
        <v>2000000</v>
      </c>
      <c r="R11" s="4">
        <f t="shared" si="0"/>
        <v>2000000</v>
      </c>
      <c r="S11">
        <v>5000</v>
      </c>
      <c r="T11">
        <v>20</v>
      </c>
      <c r="U11">
        <v>10</v>
      </c>
      <c r="V11" t="s">
        <v>52</v>
      </c>
      <c r="W11">
        <v>5</v>
      </c>
    </row>
    <row r="12" spans="1:23" x14ac:dyDescent="0.25">
      <c r="A12" t="s">
        <v>53</v>
      </c>
      <c r="B12" t="s">
        <v>54</v>
      </c>
      <c r="C12">
        <v>25000</v>
      </c>
      <c r="D12">
        <v>35000</v>
      </c>
      <c r="E12">
        <v>292</v>
      </c>
      <c r="F12">
        <v>25000</v>
      </c>
      <c r="G12">
        <v>3500</v>
      </c>
      <c r="H12">
        <v>0.45</v>
      </c>
      <c r="I12">
        <v>0.25</v>
      </c>
      <c r="J12">
        <v>0.3</v>
      </c>
      <c r="K12" s="4">
        <v>1050</v>
      </c>
      <c r="L12" s="4">
        <v>75000</v>
      </c>
      <c r="M12" s="4">
        <v>80000</v>
      </c>
      <c r="N12" s="4">
        <v>5000</v>
      </c>
      <c r="O12" s="4">
        <v>5000000</v>
      </c>
      <c r="P12" s="4">
        <v>3000000</v>
      </c>
      <c r="Q12">
        <v>8000000</v>
      </c>
      <c r="R12" s="4">
        <f t="shared" si="0"/>
        <v>8000000</v>
      </c>
      <c r="S12">
        <v>2000</v>
      </c>
      <c r="T12">
        <v>0</v>
      </c>
      <c r="U12">
        <v>2</v>
      </c>
      <c r="V12" t="s">
        <v>55</v>
      </c>
      <c r="W12">
        <v>9</v>
      </c>
    </row>
    <row r="13" spans="1:23" x14ac:dyDescent="0.25">
      <c r="A13" t="s">
        <v>56</v>
      </c>
      <c r="B13" t="s">
        <v>57</v>
      </c>
      <c r="C13">
        <v>1500</v>
      </c>
      <c r="D13">
        <v>3000</v>
      </c>
      <c r="E13">
        <v>20</v>
      </c>
      <c r="F13">
        <v>1480</v>
      </c>
      <c r="G13">
        <v>600</v>
      </c>
      <c r="H13">
        <v>0.55000000000000004</v>
      </c>
      <c r="I13">
        <v>0.2</v>
      </c>
      <c r="J13">
        <v>0.25</v>
      </c>
      <c r="K13" s="4">
        <v>150</v>
      </c>
      <c r="L13" s="4">
        <v>3000</v>
      </c>
      <c r="M13" s="4" t="s">
        <v>33</v>
      </c>
      <c r="N13" s="4" t="s">
        <v>33</v>
      </c>
      <c r="O13" s="4" t="s">
        <v>33</v>
      </c>
      <c r="P13" s="4" t="s">
        <v>33</v>
      </c>
      <c r="Q13">
        <v>2000000</v>
      </c>
      <c r="R13" s="4">
        <f t="shared" si="0"/>
        <v>2000000</v>
      </c>
      <c r="S13">
        <v>200</v>
      </c>
      <c r="T13">
        <v>0</v>
      </c>
      <c r="U13">
        <v>0</v>
      </c>
      <c r="V13" t="s">
        <v>58</v>
      </c>
      <c r="W13">
        <v>6</v>
      </c>
    </row>
    <row r="14" spans="1:23" x14ac:dyDescent="0.25">
      <c r="A14" t="s">
        <v>59</v>
      </c>
      <c r="B14" t="s">
        <v>60</v>
      </c>
      <c r="C14">
        <v>1000</v>
      </c>
      <c r="D14">
        <v>2000</v>
      </c>
      <c r="E14">
        <v>160</v>
      </c>
      <c r="F14">
        <v>1000</v>
      </c>
      <c r="G14">
        <v>750</v>
      </c>
      <c r="H14">
        <v>0.4</v>
      </c>
      <c r="I14">
        <v>0.25</v>
      </c>
      <c r="J14">
        <v>0.35</v>
      </c>
      <c r="K14" s="4">
        <v>260</v>
      </c>
      <c r="L14" s="4">
        <v>80000</v>
      </c>
      <c r="M14" s="4">
        <v>5000</v>
      </c>
      <c r="N14" s="4">
        <v>500</v>
      </c>
      <c r="O14" s="4">
        <v>100000</v>
      </c>
      <c r="P14" s="4">
        <v>50000</v>
      </c>
      <c r="Q14">
        <v>2000000</v>
      </c>
      <c r="R14" s="4">
        <f t="shared" si="0"/>
        <v>2000000</v>
      </c>
      <c r="S14">
        <v>200</v>
      </c>
      <c r="T14">
        <v>2</v>
      </c>
      <c r="U14">
        <v>1</v>
      </c>
      <c r="V14" t="s">
        <v>61</v>
      </c>
      <c r="W14">
        <v>7</v>
      </c>
    </row>
    <row r="15" spans="1:23" x14ac:dyDescent="0.25">
      <c r="A15" t="s">
        <v>62</v>
      </c>
      <c r="B15" t="s">
        <v>63</v>
      </c>
      <c r="C15">
        <v>3000</v>
      </c>
      <c r="D15">
        <v>5000</v>
      </c>
      <c r="E15">
        <v>1100</v>
      </c>
      <c r="F15">
        <v>3000</v>
      </c>
      <c r="G15">
        <v>2000</v>
      </c>
      <c r="H15">
        <v>0.4</v>
      </c>
      <c r="I15">
        <v>0.25</v>
      </c>
      <c r="J15">
        <v>0.35</v>
      </c>
      <c r="K15" s="4">
        <v>700</v>
      </c>
      <c r="L15" s="4">
        <v>50000</v>
      </c>
      <c r="M15" s="4">
        <v>3000</v>
      </c>
      <c r="N15" s="4">
        <v>800</v>
      </c>
      <c r="O15" s="4">
        <v>200000</v>
      </c>
      <c r="P15" s="4">
        <v>50000</v>
      </c>
      <c r="Q15">
        <v>3000000</v>
      </c>
      <c r="R15" s="4">
        <f t="shared" si="0"/>
        <v>3000000</v>
      </c>
      <c r="S15">
        <v>500</v>
      </c>
      <c r="T15">
        <v>5</v>
      </c>
      <c r="U15">
        <v>2</v>
      </c>
      <c r="V15" t="s">
        <v>64</v>
      </c>
      <c r="W15">
        <v>8</v>
      </c>
    </row>
    <row r="16" spans="1:23" x14ac:dyDescent="0.25">
      <c r="A16" t="s">
        <v>65</v>
      </c>
      <c r="B16" t="s">
        <v>115</v>
      </c>
      <c r="C16">
        <v>150000</v>
      </c>
      <c r="D16">
        <v>300000</v>
      </c>
      <c r="E16">
        <v>4500</v>
      </c>
      <c r="F16">
        <v>30000</v>
      </c>
      <c r="G16">
        <v>200000</v>
      </c>
      <c r="H16">
        <v>0.35</v>
      </c>
      <c r="I16">
        <v>0.3</v>
      </c>
      <c r="J16">
        <v>0.35</v>
      </c>
      <c r="K16" s="4">
        <v>70000</v>
      </c>
      <c r="L16" s="4">
        <v>100000</v>
      </c>
      <c r="M16" s="4">
        <v>20000</v>
      </c>
      <c r="N16" s="4">
        <v>8000</v>
      </c>
      <c r="O16" s="4">
        <v>4500000</v>
      </c>
      <c r="P16" s="4">
        <v>2000000</v>
      </c>
      <c r="Q16">
        <v>15000000</v>
      </c>
      <c r="R16" s="4">
        <f t="shared" si="0"/>
        <v>15000000</v>
      </c>
      <c r="S16">
        <v>100000</v>
      </c>
      <c r="T16">
        <v>150</v>
      </c>
      <c r="U16">
        <v>80</v>
      </c>
      <c r="V16" t="s">
        <v>66</v>
      </c>
      <c r="W16">
        <v>8</v>
      </c>
    </row>
    <row r="17" spans="1:23" x14ac:dyDescent="0.25">
      <c r="A17" t="s">
        <v>67</v>
      </c>
      <c r="B17" t="s">
        <v>68</v>
      </c>
      <c r="C17">
        <v>10000</v>
      </c>
      <c r="D17">
        <v>20000</v>
      </c>
      <c r="E17">
        <v>4000</v>
      </c>
      <c r="F17">
        <v>10000</v>
      </c>
      <c r="G17">
        <v>25000</v>
      </c>
      <c r="H17">
        <v>0.35</v>
      </c>
      <c r="I17">
        <v>0.25</v>
      </c>
      <c r="J17">
        <v>0.4</v>
      </c>
      <c r="K17" s="4">
        <v>10000</v>
      </c>
      <c r="L17" s="4">
        <v>80000</v>
      </c>
      <c r="M17" s="4">
        <v>3000</v>
      </c>
      <c r="N17" s="4">
        <v>5000</v>
      </c>
      <c r="O17" s="4">
        <v>2000000</v>
      </c>
      <c r="P17" s="4">
        <v>500000</v>
      </c>
      <c r="Q17">
        <v>8000000</v>
      </c>
      <c r="R17" s="4">
        <f t="shared" si="0"/>
        <v>8000000</v>
      </c>
      <c r="S17">
        <v>20000</v>
      </c>
      <c r="T17">
        <v>30</v>
      </c>
      <c r="U17">
        <v>10</v>
      </c>
      <c r="V17" t="s">
        <v>69</v>
      </c>
      <c r="W17">
        <v>7</v>
      </c>
    </row>
    <row r="18" spans="1:23" x14ac:dyDescent="0.25">
      <c r="A18" t="s">
        <v>70</v>
      </c>
      <c r="B18" t="s">
        <v>71</v>
      </c>
      <c r="C18">
        <v>1365</v>
      </c>
      <c r="D18">
        <v>1500</v>
      </c>
      <c r="E18">
        <v>121</v>
      </c>
      <c r="F18">
        <v>1200</v>
      </c>
      <c r="G18">
        <v>1200</v>
      </c>
      <c r="H18">
        <v>0.35</v>
      </c>
      <c r="I18">
        <v>0.3</v>
      </c>
      <c r="J18">
        <v>0.35</v>
      </c>
      <c r="K18" s="4">
        <v>420</v>
      </c>
      <c r="L18" s="4">
        <v>4400</v>
      </c>
      <c r="M18" s="4">
        <v>200</v>
      </c>
      <c r="N18" s="4">
        <v>400</v>
      </c>
      <c r="O18" s="4">
        <v>1000000</v>
      </c>
      <c r="P18" s="4">
        <v>100000</v>
      </c>
      <c r="Q18" t="s">
        <v>106</v>
      </c>
      <c r="R18" s="4">
        <f t="shared" si="0"/>
        <v>1500000</v>
      </c>
      <c r="S18">
        <v>300</v>
      </c>
      <c r="T18">
        <v>1</v>
      </c>
      <c r="U18">
        <v>2</v>
      </c>
      <c r="V18" t="s">
        <v>72</v>
      </c>
      <c r="W18">
        <v>8</v>
      </c>
    </row>
    <row r="19" spans="1:23" x14ac:dyDescent="0.25">
      <c r="A19" t="s">
        <v>73</v>
      </c>
      <c r="B19" t="s">
        <v>74</v>
      </c>
      <c r="C19">
        <v>1390</v>
      </c>
      <c r="D19">
        <v>1440</v>
      </c>
      <c r="E19">
        <v>13</v>
      </c>
      <c r="F19">
        <v>1167</v>
      </c>
      <c r="G19">
        <v>350</v>
      </c>
      <c r="H19">
        <v>0.3</v>
      </c>
      <c r="I19">
        <v>0.3</v>
      </c>
      <c r="J19">
        <v>0.4</v>
      </c>
      <c r="K19" s="4">
        <v>490</v>
      </c>
      <c r="L19" s="4">
        <v>5300</v>
      </c>
      <c r="M19" s="4">
        <v>100</v>
      </c>
      <c r="N19" s="4">
        <v>200</v>
      </c>
      <c r="O19" s="4">
        <v>250000</v>
      </c>
      <c r="P19" s="4" t="s">
        <v>33</v>
      </c>
      <c r="Q19" t="s">
        <v>106</v>
      </c>
      <c r="R19" s="4">
        <f t="shared" si="0"/>
        <v>1500000</v>
      </c>
      <c r="S19">
        <v>200</v>
      </c>
      <c r="T19">
        <v>0</v>
      </c>
      <c r="U19">
        <v>1</v>
      </c>
      <c r="V19" t="s">
        <v>75</v>
      </c>
      <c r="W19">
        <v>8</v>
      </c>
    </row>
    <row r="20" spans="1:23" x14ac:dyDescent="0.25">
      <c r="A20" t="s">
        <v>76</v>
      </c>
      <c r="B20" t="s">
        <v>77</v>
      </c>
      <c r="C20">
        <v>170</v>
      </c>
      <c r="D20">
        <v>180</v>
      </c>
      <c r="E20">
        <v>6</v>
      </c>
      <c r="F20">
        <v>155</v>
      </c>
      <c r="G20">
        <v>15</v>
      </c>
      <c r="H20">
        <v>0.3</v>
      </c>
      <c r="I20">
        <v>0.3</v>
      </c>
      <c r="J20">
        <v>0.4</v>
      </c>
      <c r="K20" s="4">
        <v>60</v>
      </c>
      <c r="L20" s="4">
        <v>1200</v>
      </c>
      <c r="M20" s="4" t="s">
        <v>33</v>
      </c>
      <c r="N20" s="4" t="s">
        <v>33</v>
      </c>
      <c r="O20" s="4">
        <v>100000</v>
      </c>
      <c r="P20" s="4" t="s">
        <v>33</v>
      </c>
      <c r="Q20" t="s">
        <v>106</v>
      </c>
      <c r="R20" s="4">
        <f t="shared" si="0"/>
        <v>1500000</v>
      </c>
      <c r="S20">
        <v>30</v>
      </c>
      <c r="T20">
        <v>0</v>
      </c>
      <c r="U20">
        <v>0</v>
      </c>
      <c r="V20" t="s">
        <v>78</v>
      </c>
      <c r="W20">
        <v>8</v>
      </c>
    </row>
    <row r="21" spans="1:23" x14ac:dyDescent="0.25">
      <c r="A21" t="s">
        <v>79</v>
      </c>
      <c r="B21" t="s">
        <v>80</v>
      </c>
      <c r="C21">
        <v>2100</v>
      </c>
      <c r="D21">
        <v>2200</v>
      </c>
      <c r="E21">
        <v>67</v>
      </c>
      <c r="F21">
        <v>2023</v>
      </c>
      <c r="G21">
        <v>1500</v>
      </c>
      <c r="H21">
        <v>0.3</v>
      </c>
      <c r="I21">
        <v>0.27</v>
      </c>
      <c r="J21">
        <v>0.43</v>
      </c>
      <c r="K21" s="4">
        <v>640</v>
      </c>
      <c r="L21" s="4">
        <v>11000</v>
      </c>
      <c r="M21" s="4">
        <v>300</v>
      </c>
      <c r="N21" s="4">
        <v>300</v>
      </c>
      <c r="O21" s="4">
        <v>500000</v>
      </c>
      <c r="P21" s="4" t="s">
        <v>33</v>
      </c>
      <c r="Q21" t="s">
        <v>104</v>
      </c>
      <c r="R21" s="4">
        <f t="shared" si="0"/>
        <v>2000000</v>
      </c>
      <c r="S21">
        <v>500</v>
      </c>
      <c r="T21">
        <v>2</v>
      </c>
      <c r="U21">
        <v>1</v>
      </c>
      <c r="V21" t="s">
        <v>81</v>
      </c>
      <c r="W21">
        <v>8</v>
      </c>
    </row>
    <row r="22" spans="1:23" x14ac:dyDescent="0.25">
      <c r="A22" t="s">
        <v>82</v>
      </c>
      <c r="B22" t="s">
        <v>83</v>
      </c>
      <c r="C22">
        <v>350000</v>
      </c>
      <c r="D22">
        <v>500000</v>
      </c>
      <c r="E22">
        <v>150000</v>
      </c>
      <c r="F22">
        <v>200000</v>
      </c>
      <c r="G22">
        <v>250000</v>
      </c>
      <c r="H22">
        <v>0.35</v>
      </c>
      <c r="I22">
        <v>0.28000000000000003</v>
      </c>
      <c r="J22">
        <v>0.37</v>
      </c>
      <c r="K22" s="4">
        <v>92000</v>
      </c>
      <c r="L22" s="4">
        <v>1000000</v>
      </c>
      <c r="M22" s="4">
        <v>100000</v>
      </c>
      <c r="N22" s="4">
        <v>200000</v>
      </c>
      <c r="O22" s="4">
        <v>13000000</v>
      </c>
      <c r="P22" s="4">
        <v>6600000</v>
      </c>
      <c r="Q22" t="s">
        <v>107</v>
      </c>
      <c r="R22" s="4">
        <f t="shared" si="0"/>
        <v>20000000</v>
      </c>
      <c r="S22">
        <v>150000</v>
      </c>
      <c r="T22">
        <v>600</v>
      </c>
      <c r="U22">
        <v>100</v>
      </c>
      <c r="V22" t="s">
        <v>84</v>
      </c>
      <c r="W22">
        <v>7</v>
      </c>
    </row>
    <row r="23" spans="1:23" x14ac:dyDescent="0.25">
      <c r="A23" t="s">
        <v>85</v>
      </c>
      <c r="B23" t="s">
        <v>86</v>
      </c>
      <c r="C23">
        <v>30000</v>
      </c>
      <c r="D23">
        <v>55000</v>
      </c>
      <c r="E23">
        <v>1500</v>
      </c>
      <c r="F23">
        <v>50000</v>
      </c>
      <c r="G23">
        <v>11000</v>
      </c>
      <c r="H23">
        <v>0.35</v>
      </c>
      <c r="I23">
        <v>0.25</v>
      </c>
      <c r="J23">
        <v>0.4</v>
      </c>
      <c r="K23" s="4">
        <v>4400</v>
      </c>
      <c r="L23" s="4">
        <v>40000</v>
      </c>
      <c r="M23" s="4">
        <v>12000</v>
      </c>
      <c r="N23" s="4">
        <v>5000</v>
      </c>
      <c r="O23" s="4">
        <v>8000000</v>
      </c>
      <c r="P23" s="4">
        <v>3500000</v>
      </c>
      <c r="Q23" t="s">
        <v>105</v>
      </c>
      <c r="R23" s="4">
        <f t="shared" si="0"/>
        <v>15000000</v>
      </c>
      <c r="S23">
        <v>20000</v>
      </c>
      <c r="T23">
        <v>50</v>
      </c>
      <c r="U23">
        <v>30</v>
      </c>
      <c r="V23" t="s">
        <v>87</v>
      </c>
      <c r="W23">
        <v>8</v>
      </c>
    </row>
    <row r="24" spans="1:23" x14ac:dyDescent="0.25">
      <c r="A24" t="s">
        <v>88</v>
      </c>
      <c r="B24" t="s">
        <v>89</v>
      </c>
      <c r="C24">
        <v>150000</v>
      </c>
      <c r="D24">
        <v>377000</v>
      </c>
      <c r="E24">
        <v>80000</v>
      </c>
      <c r="F24">
        <v>70000</v>
      </c>
      <c r="G24">
        <v>100000</v>
      </c>
      <c r="H24">
        <v>0.4</v>
      </c>
      <c r="I24">
        <v>0.28000000000000003</v>
      </c>
      <c r="J24">
        <v>0.32</v>
      </c>
      <c r="K24" s="4">
        <v>32000</v>
      </c>
      <c r="L24" s="4">
        <v>400000</v>
      </c>
      <c r="M24" s="4">
        <v>20000</v>
      </c>
      <c r="N24" s="4">
        <v>30000</v>
      </c>
      <c r="O24" s="4">
        <v>4500000</v>
      </c>
      <c r="P24" s="4">
        <v>200000</v>
      </c>
      <c r="Q24" t="s">
        <v>108</v>
      </c>
      <c r="R24" s="4">
        <f t="shared" si="0"/>
        <v>23000000</v>
      </c>
      <c r="S24">
        <v>200000</v>
      </c>
      <c r="T24">
        <v>30</v>
      </c>
      <c r="U24">
        <v>25</v>
      </c>
      <c r="V24" t="s">
        <v>90</v>
      </c>
      <c r="W24">
        <v>6</v>
      </c>
    </row>
    <row r="25" spans="1:23" x14ac:dyDescent="0.25">
      <c r="A25" t="s">
        <v>91</v>
      </c>
      <c r="B25" t="s">
        <v>92</v>
      </c>
      <c r="C25">
        <v>70000</v>
      </c>
      <c r="D25">
        <v>80000</v>
      </c>
      <c r="E25">
        <v>2039</v>
      </c>
      <c r="F25">
        <v>13000</v>
      </c>
      <c r="G25">
        <v>58000</v>
      </c>
      <c r="H25">
        <v>0.2</v>
      </c>
      <c r="I25">
        <v>0.3</v>
      </c>
      <c r="J25">
        <v>0.5</v>
      </c>
      <c r="K25" s="4">
        <v>29000</v>
      </c>
      <c r="L25" s="4">
        <v>100000</v>
      </c>
      <c r="M25" s="4">
        <v>251</v>
      </c>
      <c r="N25" s="4">
        <v>10000</v>
      </c>
      <c r="O25" s="4">
        <v>2000000</v>
      </c>
      <c r="P25" s="4">
        <v>100000</v>
      </c>
      <c r="Q25" t="s">
        <v>109</v>
      </c>
      <c r="R25" s="4">
        <f t="shared" si="0"/>
        <v>2300000</v>
      </c>
      <c r="S25">
        <v>20000</v>
      </c>
      <c r="T25">
        <v>248</v>
      </c>
      <c r="U25">
        <v>224</v>
      </c>
      <c r="V25" t="s">
        <v>93</v>
      </c>
      <c r="W25">
        <v>8</v>
      </c>
    </row>
    <row r="26" spans="1:23" x14ac:dyDescent="0.25">
      <c r="A26" t="s">
        <v>94</v>
      </c>
      <c r="B26" t="s">
        <v>95</v>
      </c>
      <c r="C26">
        <v>4300</v>
      </c>
      <c r="D26">
        <v>7000</v>
      </c>
      <c r="E26">
        <v>300</v>
      </c>
      <c r="F26">
        <v>4000</v>
      </c>
      <c r="G26">
        <v>3000</v>
      </c>
      <c r="H26">
        <v>0.35</v>
      </c>
      <c r="I26">
        <v>0.3</v>
      </c>
      <c r="J26">
        <v>0.35</v>
      </c>
      <c r="K26" s="4">
        <v>1050</v>
      </c>
      <c r="L26" s="4">
        <v>15000</v>
      </c>
      <c r="M26" s="4">
        <v>200</v>
      </c>
      <c r="N26" s="4">
        <v>500</v>
      </c>
      <c r="O26" s="4">
        <v>1200000</v>
      </c>
      <c r="P26" s="4">
        <v>100000</v>
      </c>
      <c r="Q26" t="s">
        <v>104</v>
      </c>
      <c r="R26" s="4">
        <f t="shared" si="0"/>
        <v>2000000</v>
      </c>
      <c r="S26">
        <v>500</v>
      </c>
      <c r="T26">
        <v>5</v>
      </c>
      <c r="U26">
        <v>3</v>
      </c>
      <c r="V26" t="s">
        <v>96</v>
      </c>
      <c r="W26">
        <v>7</v>
      </c>
    </row>
    <row r="27" spans="1:23" x14ac:dyDescent="0.25">
      <c r="A27" t="s">
        <v>97</v>
      </c>
      <c r="B27" t="s">
        <v>98</v>
      </c>
      <c r="C27">
        <v>2000</v>
      </c>
      <c r="D27">
        <v>3000</v>
      </c>
      <c r="E27">
        <v>1500</v>
      </c>
      <c r="F27">
        <v>50</v>
      </c>
      <c r="G27">
        <v>2000</v>
      </c>
      <c r="H27">
        <v>0.4</v>
      </c>
      <c r="I27">
        <v>0.3</v>
      </c>
      <c r="J27">
        <v>0.3</v>
      </c>
      <c r="K27" s="4">
        <v>600</v>
      </c>
      <c r="L27" s="4">
        <v>8000</v>
      </c>
      <c r="M27" s="4">
        <v>2</v>
      </c>
      <c r="N27" s="4">
        <v>100</v>
      </c>
      <c r="O27" s="4">
        <v>500000</v>
      </c>
      <c r="P27" s="4" t="s">
        <v>33</v>
      </c>
      <c r="Q27" t="s">
        <v>110</v>
      </c>
      <c r="R27" s="4">
        <f t="shared" si="0"/>
        <v>5000000</v>
      </c>
      <c r="S27">
        <v>200</v>
      </c>
      <c r="T27">
        <v>2</v>
      </c>
      <c r="U27">
        <v>1</v>
      </c>
      <c r="V27" t="s">
        <v>99</v>
      </c>
      <c r="W27">
        <v>7</v>
      </c>
    </row>
    <row r="28" spans="1:23" x14ac:dyDescent="0.25">
      <c r="A28" t="s">
        <v>100</v>
      </c>
      <c r="B28" t="s">
        <v>101</v>
      </c>
      <c r="C28">
        <v>1270</v>
      </c>
      <c r="D28">
        <v>2000</v>
      </c>
      <c r="E28">
        <v>8</v>
      </c>
      <c r="F28">
        <v>900</v>
      </c>
      <c r="G28">
        <v>1300</v>
      </c>
      <c r="H28">
        <v>0.38</v>
      </c>
      <c r="I28">
        <v>0.32</v>
      </c>
      <c r="J28">
        <v>0.3</v>
      </c>
      <c r="K28" s="4">
        <v>390</v>
      </c>
      <c r="L28" s="4">
        <v>5000</v>
      </c>
      <c r="M28" s="4" t="s">
        <v>33</v>
      </c>
      <c r="N28" s="4" t="s">
        <v>33</v>
      </c>
      <c r="O28" s="4">
        <v>1000000</v>
      </c>
      <c r="P28" s="4" t="s">
        <v>33</v>
      </c>
      <c r="Q28" t="s">
        <v>103</v>
      </c>
      <c r="R28" s="4">
        <f t="shared" si="0"/>
        <v>10000000</v>
      </c>
      <c r="S28">
        <v>100</v>
      </c>
      <c r="T28">
        <v>5</v>
      </c>
      <c r="U28">
        <v>3</v>
      </c>
      <c r="V28" t="s">
        <v>102</v>
      </c>
      <c r="W28">
        <v>5</v>
      </c>
    </row>
    <row r="29" spans="1:23" x14ac:dyDescent="0.25">
      <c r="B29">
        <f>SUBTOTAL(103,_02_Casualties_Detail___02_Casualties_Detail[conflict_name])</f>
        <v>27</v>
      </c>
      <c r="G29">
        <f>SUBTOTAL(109,_02_Casualties_Detail___02_Casualties_Detail[civilian_killed_est])</f>
        <v>887115</v>
      </c>
      <c r="L29" s="4">
        <f>SUBTOTAL(109,_02_Casualties_Detail___02_Casualties_Detail[wounded_total_est])</f>
        <v>3928900</v>
      </c>
      <c r="O29" s="4">
        <f>SUBTOTAL(109,_02_Casualties_Detail___02_Casualties_Detail[displaced_persons])</f>
        <v>51630000</v>
      </c>
      <c r="P29" s="4">
        <f>SUBTOTAL(109,_02_Casualties_Detail___02_Casualties_Detail[refugees_abroad])</f>
        <v>20850000</v>
      </c>
      <c r="R29" s="4">
        <f>SUBTOTAL(109,_02_Casualties_Detail___02_Casualties_Detail[total_affected_pop2])</f>
        <v>135400000</v>
      </c>
      <c r="T29">
        <f>SUBTOTAL(109,_02_Casualties_Detail___02_Casualties_Detail[journalists_killed])</f>
        <v>1192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2BA67-E463-4137-A450-A727505CEA62}">
  <dimension ref="A1"/>
  <sheetViews>
    <sheetView showGridLines="0" zoomScale="37" zoomScaleNormal="86" workbookViewId="0">
      <selection activeCell="AB43" sqref="AB4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5157-6B66-4F42-B1C2-15C71C0BFC7C}">
  <dimension ref="A3:C9"/>
  <sheetViews>
    <sheetView workbookViewId="0">
      <selection activeCell="AC50" sqref="AC50"/>
    </sheetView>
  </sheetViews>
  <sheetFormatPr defaultRowHeight="15" x14ac:dyDescent="0.25"/>
  <cols>
    <col min="1" max="1" width="20.7109375" bestFit="1" customWidth="1"/>
    <col min="2" max="2" width="12.140625" bestFit="1" customWidth="1"/>
    <col min="3" max="3" width="12.42578125" bestFit="1" customWidth="1"/>
  </cols>
  <sheetData>
    <row r="3" spans="1:3" x14ac:dyDescent="0.25">
      <c r="A3" s="2" t="s">
        <v>111</v>
      </c>
      <c r="B3" t="s">
        <v>113</v>
      </c>
      <c r="C3" t="s">
        <v>114</v>
      </c>
    </row>
    <row r="4" spans="1:3" x14ac:dyDescent="0.25">
      <c r="A4" s="3" t="s">
        <v>92</v>
      </c>
      <c r="B4">
        <v>70000</v>
      </c>
      <c r="C4">
        <v>80000</v>
      </c>
    </row>
    <row r="5" spans="1:3" x14ac:dyDescent="0.25">
      <c r="A5" s="3" t="s">
        <v>42</v>
      </c>
      <c r="B5">
        <v>100000</v>
      </c>
      <c r="C5">
        <v>170000</v>
      </c>
    </row>
    <row r="6" spans="1:3" x14ac:dyDescent="0.25">
      <c r="A6" s="3" t="s">
        <v>115</v>
      </c>
      <c r="B6">
        <v>150000</v>
      </c>
      <c r="C6">
        <v>300000</v>
      </c>
    </row>
    <row r="7" spans="1:3" x14ac:dyDescent="0.25">
      <c r="A7" s="3" t="s">
        <v>89</v>
      </c>
      <c r="B7">
        <v>150000</v>
      </c>
      <c r="C7">
        <v>377000</v>
      </c>
    </row>
    <row r="8" spans="1:3" x14ac:dyDescent="0.25">
      <c r="A8" s="3" t="s">
        <v>83</v>
      </c>
      <c r="B8">
        <v>350000</v>
      </c>
      <c r="C8">
        <v>500000</v>
      </c>
    </row>
    <row r="9" spans="1:3" x14ac:dyDescent="0.25">
      <c r="A9" s="3" t="s">
        <v>48</v>
      </c>
      <c r="B9">
        <v>500000</v>
      </c>
      <c r="C9">
        <v>1000000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F720-3EEC-4C83-BB2E-95EF8333EE40}">
  <dimension ref="A3:B9"/>
  <sheetViews>
    <sheetView workbookViewId="0">
      <selection activeCell="J18" sqref="J18"/>
    </sheetView>
  </sheetViews>
  <sheetFormatPr defaultRowHeight="15" x14ac:dyDescent="0.25"/>
  <cols>
    <col min="1" max="1" width="20.7109375" bestFit="1" customWidth="1"/>
    <col min="2" max="4" width="22.42578125" bestFit="1" customWidth="1"/>
    <col min="5" max="5" width="25" bestFit="1" customWidth="1"/>
  </cols>
  <sheetData>
    <row r="3" spans="1:2" x14ac:dyDescent="0.25">
      <c r="A3" s="2" t="s">
        <v>111</v>
      </c>
      <c r="B3" t="s">
        <v>116</v>
      </c>
    </row>
    <row r="4" spans="1:2" x14ac:dyDescent="0.25">
      <c r="A4" s="3" t="s">
        <v>83</v>
      </c>
      <c r="B4">
        <v>250000</v>
      </c>
    </row>
    <row r="5" spans="1:2" x14ac:dyDescent="0.25">
      <c r="A5" s="3" t="s">
        <v>115</v>
      </c>
      <c r="B5">
        <v>200000</v>
      </c>
    </row>
    <row r="6" spans="1:2" x14ac:dyDescent="0.25">
      <c r="A6" s="3" t="s">
        <v>48</v>
      </c>
      <c r="B6">
        <v>100000</v>
      </c>
    </row>
    <row r="7" spans="1:2" x14ac:dyDescent="0.25">
      <c r="A7" s="3" t="s">
        <v>89</v>
      </c>
      <c r="B7">
        <v>100000</v>
      </c>
    </row>
    <row r="8" spans="1:2" x14ac:dyDescent="0.25">
      <c r="A8" s="3" t="s">
        <v>42</v>
      </c>
      <c r="B8">
        <v>100000</v>
      </c>
    </row>
    <row r="9" spans="1:2" x14ac:dyDescent="0.25">
      <c r="A9" s="3" t="s">
        <v>92</v>
      </c>
      <c r="B9">
        <v>58000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10837-ED27-455A-840F-435FEA6E66CA}">
  <dimension ref="A3:B9"/>
  <sheetViews>
    <sheetView workbookViewId="0">
      <selection activeCell="M11" sqref="M11"/>
    </sheetView>
  </sheetViews>
  <sheetFormatPr defaultRowHeight="15" x14ac:dyDescent="0.25"/>
  <cols>
    <col min="1" max="1" width="20.7109375" bestFit="1" customWidth="1"/>
    <col min="2" max="2" width="23.28515625" bestFit="1" customWidth="1"/>
  </cols>
  <sheetData>
    <row r="3" spans="1:2" x14ac:dyDescent="0.25">
      <c r="A3" s="2" t="s">
        <v>111</v>
      </c>
      <c r="B3" t="s">
        <v>112</v>
      </c>
    </row>
    <row r="4" spans="1:2" x14ac:dyDescent="0.25">
      <c r="A4" s="3" t="s">
        <v>42</v>
      </c>
      <c r="B4">
        <v>1000000</v>
      </c>
    </row>
    <row r="5" spans="1:2" x14ac:dyDescent="0.25">
      <c r="A5" s="3" t="s">
        <v>92</v>
      </c>
      <c r="B5">
        <v>2000000</v>
      </c>
    </row>
    <row r="6" spans="1:2" x14ac:dyDescent="0.25">
      <c r="A6" s="3" t="s">
        <v>48</v>
      </c>
      <c r="B6">
        <v>4000000</v>
      </c>
    </row>
    <row r="7" spans="1:2" x14ac:dyDescent="0.25">
      <c r="A7" s="3" t="s">
        <v>115</v>
      </c>
      <c r="B7">
        <v>4500000</v>
      </c>
    </row>
    <row r="8" spans="1:2" x14ac:dyDescent="0.25">
      <c r="A8" s="3" t="s">
        <v>89</v>
      </c>
      <c r="B8">
        <v>4500000</v>
      </c>
    </row>
    <row r="9" spans="1:2" x14ac:dyDescent="0.25">
      <c r="A9" s="3" t="s">
        <v>83</v>
      </c>
      <c r="B9">
        <v>13000000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FFC3-D267-4F43-AEA1-CC4F031CBFC8}">
  <dimension ref="A3:B9"/>
  <sheetViews>
    <sheetView workbookViewId="0">
      <selection activeCell="I5" sqref="I5"/>
    </sheetView>
  </sheetViews>
  <sheetFormatPr defaultRowHeight="15" x14ac:dyDescent="0.25"/>
  <cols>
    <col min="1" max="1" width="20.7109375" bestFit="1" customWidth="1"/>
    <col min="2" max="2" width="22" bestFit="1" customWidth="1"/>
  </cols>
  <sheetData>
    <row r="3" spans="1:2" x14ac:dyDescent="0.25">
      <c r="A3" s="2" t="s">
        <v>111</v>
      </c>
      <c r="B3" t="s">
        <v>117</v>
      </c>
    </row>
    <row r="4" spans="1:2" x14ac:dyDescent="0.25">
      <c r="A4" s="3" t="s">
        <v>83</v>
      </c>
      <c r="B4">
        <v>6600000</v>
      </c>
    </row>
    <row r="5" spans="1:2" x14ac:dyDescent="0.25">
      <c r="A5" s="3" t="s">
        <v>48</v>
      </c>
      <c r="B5">
        <v>2500000</v>
      </c>
    </row>
    <row r="6" spans="1:2" x14ac:dyDescent="0.25">
      <c r="A6" s="3" t="s">
        <v>115</v>
      </c>
      <c r="B6">
        <v>2000000</v>
      </c>
    </row>
    <row r="7" spans="1:2" x14ac:dyDescent="0.25">
      <c r="A7" s="3" t="s">
        <v>42</v>
      </c>
      <c r="B7">
        <v>500000</v>
      </c>
    </row>
    <row r="8" spans="1:2" x14ac:dyDescent="0.25">
      <c r="A8" s="3" t="s">
        <v>89</v>
      </c>
      <c r="B8">
        <v>200000</v>
      </c>
    </row>
    <row r="9" spans="1:2" x14ac:dyDescent="0.25">
      <c r="A9" s="3" t="s">
        <v>92</v>
      </c>
      <c r="B9">
        <v>100000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BB65-D809-4063-9ADA-DFAE9892FBE6}">
  <dimension ref="A3:B9"/>
  <sheetViews>
    <sheetView workbookViewId="0">
      <selection activeCell="D20" sqref="D20"/>
    </sheetView>
  </sheetViews>
  <sheetFormatPr defaultRowHeight="15" x14ac:dyDescent="0.25"/>
  <cols>
    <col min="1" max="1" width="20.7109375" bestFit="1" customWidth="1"/>
    <col min="2" max="3" width="35.140625" bestFit="1" customWidth="1"/>
  </cols>
  <sheetData>
    <row r="3" spans="1:2" x14ac:dyDescent="0.25">
      <c r="A3" s="2" t="s">
        <v>111</v>
      </c>
      <c r="B3" t="s">
        <v>118</v>
      </c>
    </row>
    <row r="4" spans="1:2" x14ac:dyDescent="0.25">
      <c r="A4" s="3" t="s">
        <v>89</v>
      </c>
      <c r="B4">
        <v>200000</v>
      </c>
    </row>
    <row r="5" spans="1:2" x14ac:dyDescent="0.25">
      <c r="A5" s="3" t="s">
        <v>83</v>
      </c>
      <c r="B5">
        <v>150000</v>
      </c>
    </row>
    <row r="6" spans="1:2" x14ac:dyDescent="0.25">
      <c r="A6" s="3" t="s">
        <v>115</v>
      </c>
      <c r="B6">
        <v>100000</v>
      </c>
    </row>
    <row r="7" spans="1:2" x14ac:dyDescent="0.25">
      <c r="A7" s="3" t="s">
        <v>48</v>
      </c>
      <c r="B7">
        <v>50000</v>
      </c>
    </row>
    <row r="8" spans="1:2" x14ac:dyDescent="0.25">
      <c r="A8" s="3" t="s">
        <v>42</v>
      </c>
      <c r="B8">
        <v>30000</v>
      </c>
    </row>
    <row r="9" spans="1:2" x14ac:dyDescent="0.25">
      <c r="A9" s="3" t="s">
        <v>92</v>
      </c>
      <c r="B9">
        <v>20000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B1B04-174A-40D2-87B0-54F125150FF1}">
  <dimension ref="A3:C9"/>
  <sheetViews>
    <sheetView topLeftCell="A3" workbookViewId="0">
      <selection activeCell="H9" sqref="H9"/>
    </sheetView>
  </sheetViews>
  <sheetFormatPr defaultRowHeight="15" x14ac:dyDescent="0.25"/>
  <cols>
    <col min="1" max="1" width="20.7109375" bestFit="1" customWidth="1"/>
    <col min="2" max="2" width="14.140625" bestFit="1" customWidth="1"/>
    <col min="3" max="3" width="10.7109375" bestFit="1" customWidth="1"/>
  </cols>
  <sheetData>
    <row r="3" spans="1:3" x14ac:dyDescent="0.25">
      <c r="A3" s="2" t="s">
        <v>111</v>
      </c>
      <c r="B3" t="s">
        <v>119</v>
      </c>
      <c r="C3" t="s">
        <v>120</v>
      </c>
    </row>
    <row r="4" spans="1:3" x14ac:dyDescent="0.25">
      <c r="A4" s="3" t="s">
        <v>48</v>
      </c>
      <c r="B4" s="4">
        <v>1500000</v>
      </c>
      <c r="C4">
        <v>1000000</v>
      </c>
    </row>
    <row r="5" spans="1:3" x14ac:dyDescent="0.25">
      <c r="A5" s="3" t="s">
        <v>83</v>
      </c>
      <c r="B5" s="4">
        <v>1000000</v>
      </c>
      <c r="C5">
        <v>500000</v>
      </c>
    </row>
    <row r="6" spans="1:3" x14ac:dyDescent="0.25">
      <c r="A6" s="3" t="s">
        <v>89</v>
      </c>
      <c r="B6" s="4">
        <v>400000</v>
      </c>
      <c r="C6">
        <v>377000</v>
      </c>
    </row>
    <row r="7" spans="1:3" x14ac:dyDescent="0.25">
      <c r="A7" s="3" t="s">
        <v>115</v>
      </c>
      <c r="B7" s="4">
        <v>100000</v>
      </c>
      <c r="C7">
        <v>300000</v>
      </c>
    </row>
    <row r="8" spans="1:3" x14ac:dyDescent="0.25">
      <c r="A8" s="3" t="s">
        <v>42</v>
      </c>
      <c r="B8" s="4">
        <v>300000</v>
      </c>
      <c r="C8">
        <v>170000</v>
      </c>
    </row>
    <row r="9" spans="1:3" x14ac:dyDescent="0.25">
      <c r="A9" s="3" t="s">
        <v>92</v>
      </c>
      <c r="B9" s="4">
        <v>100000</v>
      </c>
      <c r="C9">
        <v>80000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337D-8248-4C8D-A121-B6987A5161F6}">
  <dimension ref="A3:D9"/>
  <sheetViews>
    <sheetView topLeftCell="A3" workbookViewId="0">
      <selection activeCell="L21" sqref="L21"/>
    </sheetView>
  </sheetViews>
  <sheetFormatPr defaultRowHeight="15" x14ac:dyDescent="0.25"/>
  <cols>
    <col min="1" max="1" width="20.7109375" bestFit="1" customWidth="1"/>
    <col min="2" max="2" width="4.85546875" bestFit="1" customWidth="1"/>
    <col min="3" max="3" width="7.7109375" bestFit="1" customWidth="1"/>
    <col min="4" max="4" width="8" bestFit="1" customWidth="1"/>
  </cols>
  <sheetData>
    <row r="3" spans="1:4" x14ac:dyDescent="0.25">
      <c r="A3" s="2" t="s">
        <v>111</v>
      </c>
      <c r="B3" t="s">
        <v>121</v>
      </c>
      <c r="C3" t="s">
        <v>122</v>
      </c>
      <c r="D3" t="s">
        <v>123</v>
      </c>
    </row>
    <row r="4" spans="1:4" x14ac:dyDescent="0.25">
      <c r="A4" s="3" t="s">
        <v>48</v>
      </c>
      <c r="B4" s="5">
        <v>0.5</v>
      </c>
      <c r="C4" s="5">
        <v>0.2</v>
      </c>
      <c r="D4" s="5">
        <v>0.3</v>
      </c>
    </row>
    <row r="5" spans="1:4" x14ac:dyDescent="0.25">
      <c r="A5" s="3" t="s">
        <v>89</v>
      </c>
      <c r="B5" s="5">
        <v>0.4</v>
      </c>
      <c r="C5" s="5">
        <v>0.28000000000000003</v>
      </c>
      <c r="D5" s="5">
        <v>0.32</v>
      </c>
    </row>
    <row r="6" spans="1:4" x14ac:dyDescent="0.25">
      <c r="A6" s="3" t="s">
        <v>83</v>
      </c>
      <c r="B6" s="5">
        <v>0.35</v>
      </c>
      <c r="C6" s="5">
        <v>0.28000000000000003</v>
      </c>
      <c r="D6" s="5">
        <v>0.37</v>
      </c>
    </row>
    <row r="7" spans="1:4" x14ac:dyDescent="0.25">
      <c r="A7" s="3" t="s">
        <v>42</v>
      </c>
      <c r="B7" s="5">
        <v>0.35</v>
      </c>
      <c r="C7" s="5">
        <v>0.3</v>
      </c>
      <c r="D7" s="5">
        <v>0.35</v>
      </c>
    </row>
    <row r="8" spans="1:4" x14ac:dyDescent="0.25">
      <c r="A8" s="3" t="s">
        <v>115</v>
      </c>
      <c r="B8" s="5">
        <v>0.35</v>
      </c>
      <c r="C8" s="5">
        <v>0.3</v>
      </c>
      <c r="D8" s="5">
        <v>0.35</v>
      </c>
    </row>
    <row r="9" spans="1:4" x14ac:dyDescent="0.25">
      <c r="A9" s="3" t="s">
        <v>92</v>
      </c>
      <c r="B9" s="5">
        <v>0.2</v>
      </c>
      <c r="C9" s="5">
        <v>0.3</v>
      </c>
      <c r="D9" s="5">
        <v>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798E-D14B-4B3C-AA8F-8D081BC929A5}">
  <dimension ref="A3:C9"/>
  <sheetViews>
    <sheetView topLeftCell="A2" workbookViewId="0">
      <selection activeCell="H26" sqref="H26"/>
    </sheetView>
  </sheetViews>
  <sheetFormatPr defaultRowHeight="15" x14ac:dyDescent="0.25"/>
  <cols>
    <col min="1" max="1" width="20.7109375" bestFit="1" customWidth="1"/>
    <col min="2" max="2" width="9.7109375" bestFit="1" customWidth="1"/>
    <col min="3" max="3" width="11.28515625" bestFit="1" customWidth="1"/>
  </cols>
  <sheetData>
    <row r="3" spans="1:3" x14ac:dyDescent="0.25">
      <c r="A3" s="2" t="s">
        <v>111</v>
      </c>
      <c r="B3" t="s">
        <v>124</v>
      </c>
      <c r="C3" t="s">
        <v>125</v>
      </c>
    </row>
    <row r="4" spans="1:3" x14ac:dyDescent="0.25">
      <c r="A4" s="3" t="s">
        <v>83</v>
      </c>
      <c r="B4">
        <v>600</v>
      </c>
      <c r="C4">
        <v>100</v>
      </c>
    </row>
    <row r="5" spans="1:3" x14ac:dyDescent="0.25">
      <c r="A5" s="3" t="s">
        <v>92</v>
      </c>
      <c r="B5">
        <v>248</v>
      </c>
      <c r="C5">
        <v>224</v>
      </c>
    </row>
    <row r="6" spans="1:3" x14ac:dyDescent="0.25">
      <c r="A6" s="3" t="s">
        <v>115</v>
      </c>
      <c r="B6">
        <v>150</v>
      </c>
      <c r="C6">
        <v>80</v>
      </c>
    </row>
    <row r="7" spans="1:3" x14ac:dyDescent="0.25">
      <c r="A7" s="3" t="s">
        <v>42</v>
      </c>
      <c r="B7">
        <v>30</v>
      </c>
      <c r="C7">
        <v>20</v>
      </c>
    </row>
    <row r="8" spans="1:3" x14ac:dyDescent="0.25">
      <c r="A8" s="3" t="s">
        <v>89</v>
      </c>
      <c r="B8">
        <v>30</v>
      </c>
      <c r="C8">
        <v>25</v>
      </c>
    </row>
    <row r="9" spans="1:3" x14ac:dyDescent="0.25">
      <c r="A9" s="3" t="s">
        <v>48</v>
      </c>
      <c r="B9">
        <v>10</v>
      </c>
      <c r="C9">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96D1D-7E78-4256-81FC-FFF99222209B}">
  <dimension ref="A3:C9"/>
  <sheetViews>
    <sheetView tabSelected="1" topLeftCell="A3" workbookViewId="0">
      <selection activeCell="H22" sqref="H22"/>
    </sheetView>
  </sheetViews>
  <sheetFormatPr defaultRowHeight="15" x14ac:dyDescent="0.25"/>
  <cols>
    <col min="1" max="1" width="20.7109375" bestFit="1" customWidth="1"/>
    <col min="2" max="2" width="16" bestFit="1" customWidth="1"/>
    <col min="3" max="3" width="19.7109375" bestFit="1" customWidth="1"/>
  </cols>
  <sheetData>
    <row r="3" spans="1:3" x14ac:dyDescent="0.25">
      <c r="A3" s="2" t="s">
        <v>111</v>
      </c>
      <c r="B3" t="s">
        <v>126</v>
      </c>
      <c r="C3" t="s">
        <v>127</v>
      </c>
    </row>
    <row r="4" spans="1:3" x14ac:dyDescent="0.25">
      <c r="A4" s="3" t="s">
        <v>83</v>
      </c>
      <c r="B4">
        <v>100000</v>
      </c>
      <c r="C4">
        <v>200000</v>
      </c>
    </row>
    <row r="5" spans="1:3" x14ac:dyDescent="0.25">
      <c r="A5" s="3" t="s">
        <v>48</v>
      </c>
      <c r="B5">
        <v>80000</v>
      </c>
      <c r="C5">
        <v>50000</v>
      </c>
    </row>
    <row r="6" spans="1:3" x14ac:dyDescent="0.25">
      <c r="A6" s="3" t="s">
        <v>89</v>
      </c>
      <c r="B6">
        <v>20000</v>
      </c>
      <c r="C6">
        <v>30000</v>
      </c>
    </row>
    <row r="7" spans="1:3" x14ac:dyDescent="0.25">
      <c r="A7" s="3" t="s">
        <v>115</v>
      </c>
      <c r="B7">
        <v>20000</v>
      </c>
      <c r="C7">
        <v>8000</v>
      </c>
    </row>
    <row r="8" spans="1:3" x14ac:dyDescent="0.25">
      <c r="A8" s="3" t="s">
        <v>42</v>
      </c>
      <c r="B8">
        <v>15000</v>
      </c>
      <c r="C8">
        <v>17000</v>
      </c>
    </row>
    <row r="9" spans="1:3" x14ac:dyDescent="0.25">
      <c r="A9" s="3" t="s">
        <v>92</v>
      </c>
      <c r="B9">
        <v>251</v>
      </c>
      <c r="C9">
        <v>10000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F46737-5DC3-4A6E-AAFF-5B39F7E27F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Global_War_Conflict_dataset</vt:lpstr>
      <vt:lpstr>Dashboard</vt:lpstr>
      <vt:lpstr>maximum and minimum dath 1</vt:lpstr>
      <vt:lpstr>civilian death in war</vt:lpstr>
      <vt:lpstr>displaced</vt:lpstr>
      <vt:lpstr>refugees</vt:lpstr>
      <vt:lpstr> famine_disease_deaths</vt:lpstr>
      <vt:lpstr>wounded and death</vt:lpstr>
      <vt:lpstr>men_women_chidren</vt:lpstr>
      <vt:lpstr>journalist </vt:lpstr>
      <vt:lpstr>missing_persons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tambitkarsumit8563@gmail.com</dc:creator>
  <cp:lastModifiedBy>tambitkarsumit8563@gmail.com</cp:lastModifiedBy>
  <dcterms:created xsi:type="dcterms:W3CDTF">2026-07-08T07:29:10Z</dcterms:created>
  <dcterms:modified xsi:type="dcterms:W3CDTF">2026-08-25T07:36:27Z</dcterms:modified>
</cp:coreProperties>
</file>